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240" yWindow="105" windowWidth="28350" windowHeight="12375"/>
  </bookViews>
  <sheets>
    <sheet name="Path of Excile" sheetId="1" r:id="rId1"/>
    <sheet name="character" sheetId="2" r:id="rId2"/>
    <sheet name="items" sheetId="3" r:id="rId3"/>
    <sheet name="map" sheetId="4" r:id="rId4"/>
  </sheets>
  <functionGroups/>
  <definedNames>
    <definedName name="allKeys">character!$A$1:$A$131</definedName>
    <definedName name="Inventory">'Path of Excile'!$S$18:$AD$22</definedName>
    <definedName name="moveDown">'Path of Excile'!$J$17,'Path of Excile'!$I$18,'Path of Excile'!$J$18,'Path of Excile'!$K$18,'Path of Excile'!$H$19,'Path of Excile'!$I$19,'Path of Excile'!$J$19,'Path of Excile'!$K$19,'Path of Excile'!$L$19,'Path of Excile'!$G$20,'Path of Excile'!$H$20,'Path of Excile'!$I$20,'Path of Excile'!$J$20,'Path of Excile'!$K$20,'Path of Excile'!$L$20,'Path of Excile'!$M$20,'Path of Excile'!$N$21,'Path of Excile'!$M$21,'Path of Excile'!$L$21,'Path of Excile'!$K$21,'Path of Excile'!$J$21,'Path of Excile'!$I$21,'Path of Excile'!$H$21,'Path of Excile'!$G$21,'Path of Excile'!$F$21</definedName>
    <definedName name="moveDownLeft">'Path of Excile'!$I$17,'Path of Excile'!$H$18,'Path of Excile'!$G$19,'Path of Excile'!$F$20,'Path of Excile'!$E$21</definedName>
    <definedName name="moveDownRight">'Path of Excile'!$K$17,'Path of Excile'!$L$18,'Path of Excile'!$M$19,'Path of Excile'!$N$20,'Path of Excile'!$O$21</definedName>
    <definedName name="moveLeft">'Path of Excile'!$I$16,'Path of Excile'!$H$15,'Path of Excile'!$H$16,'Path of Excile'!$H$17,'Path of Excile'!$G$18,'Path of Excile'!$G$17,'Path of Excile'!$G$16,'Path of Excile'!$G$15,'Path of Excile'!$G$14,'Path of Excile'!$F$13,'Path of Excile'!$F$14,'Path of Excile'!$F$15,'Path of Excile'!$F$16,'Path of Excile'!$F$17,'Path of Excile'!$F$18,'Path of Excile'!$F$19,'Path of Excile'!$E$20,'Path of Excile'!$E$19,'Path of Excile'!$E$18,'Path of Excile'!$E$17,'Path of Excile'!$E$16,'Path of Excile'!$E$15,'Path of Excile'!$E$14,'Path of Excile'!$E$13,'Path of Excile'!$E$12</definedName>
    <definedName name="moveRight">'Path of Excile'!$K$16,'Path of Excile'!$L$15,'Path of Excile'!$L$16,'Path of Excile'!$L$17,'Path of Excile'!$M$18,'Path of Excile'!$M$17,'Path of Excile'!$M$16,'Path of Excile'!$M$15,'Path of Excile'!$M$14,'Path of Excile'!$N$13,'Path of Excile'!$N$14,'Path of Excile'!$N$15,'Path of Excile'!$N$16,'Path of Excile'!$N$17,'Path of Excile'!$N$18,'Path of Excile'!$N$19,'Path of Excile'!$O$20,'Path of Excile'!$O$19,'Path of Excile'!$O$18,'Path of Excile'!$O$17,'Path of Excile'!$O$16,'Path of Excile'!$O$15,'Path of Excile'!$O$15,'Path of Excile'!$O$14,'Path of Excile'!$O$13,'Path of Excile'!$O$12</definedName>
    <definedName name="moveTop">'Path of Excile'!$J$15,'Path of Excile'!$I$14,'Path of Excile'!$J$14,'Path of Excile'!$K$14,'Path of Excile'!$H$13,'Path of Excile'!$I$13,'Path of Excile'!$J$13,'Path of Excile'!$K$13,'Path of Excile'!$L$13,'Path of Excile'!$G$12,'Path of Excile'!$H$12,'Path of Excile'!$I$12,'Path of Excile'!$J$12,'Path of Excile'!$K$12,'Path of Excile'!$L$12,'Path of Excile'!$M$12,'Path of Excile'!$N$11,'Path of Excile'!$M$11,'Path of Excile'!$L$11,'Path of Excile'!$K$11,'Path of Excile'!$J$11,'Path of Excile'!$I$11,'Path of Excile'!$H$11,'Path of Excile'!$G$11,'Path of Excile'!$F$11</definedName>
    <definedName name="moveTopLeft">'Path of Excile'!$I$15,'Path of Excile'!$H$14,'Path of Excile'!$G$13,'Path of Excile'!$F$12,'Path of Excile'!$E$11</definedName>
    <definedName name="moveTopRight">'Path of Excile'!$K$15,'Path of Excile'!$L$14,'Path of Excile'!$M$13,'Path of Excile'!$N$12,'Path of Excile'!$O$11</definedName>
    <definedName name="posDown">'Path of Excile'!$J$17</definedName>
    <definedName name="posLeft">'Path of Excile'!$I$16</definedName>
    <definedName name="posPlayer">'Path of Excile'!$J$16</definedName>
    <definedName name="posRight">'Path of Excile'!$K$16</definedName>
    <definedName name="posTop">'Path of Excile'!$J$15</definedName>
    <definedName name="slotAmulet">'Path of Excile'!$AA$11</definedName>
    <definedName name="slotBelt">'Path of Excile'!$X$16</definedName>
    <definedName name="slotBody">'Path of Excile'!$X$12</definedName>
    <definedName name="slotBoot">'Path of Excile'!$AA$15</definedName>
    <definedName name="slotGlove">'Path of Excile'!$U$15</definedName>
    <definedName name="slotHand">'Path of Excile'!$S$10</definedName>
    <definedName name="slotHead">'Path of Excile'!$X$9</definedName>
    <definedName name="slotRing1">'Path of Excile'!$V$13</definedName>
    <definedName name="slotRing2">'Path of Excile'!$AA$13</definedName>
  </definedNames>
  <calcPr calcId="125725" refMode="R1C1"/>
</workbook>
</file>

<file path=xl/calcChain.xml><?xml version="1.0" encoding="utf-8"?>
<calcChain xmlns="http://schemas.openxmlformats.org/spreadsheetml/2006/main">
  <c r="N12" i="3"/>
  <c r="M3" i="2"/>
  <c r="L4" s="1"/>
  <c r="R12" i="3"/>
  <c r="DQ20" i="4"/>
  <c r="DQ21" s="1"/>
  <c r="DW15"/>
  <c r="DW16" s="1"/>
  <c r="DW21" s="1"/>
  <c r="DV15"/>
  <c r="DV16" s="1"/>
  <c r="DU21" s="1"/>
  <c r="DU15"/>
  <c r="DU16" s="1"/>
  <c r="DV21" s="1"/>
  <c r="O12" i="3"/>
  <c r="P12"/>
  <c r="DZ20" i="4" l="1"/>
  <c r="D23" i="1"/>
  <c r="D20" i="2"/>
  <c r="DX20" i="4"/>
  <c r="DQ22"/>
  <c r="DY20"/>
  <c r="DU20"/>
  <c r="DV20"/>
  <c r="DW20"/>
  <c r="DU23"/>
  <c r="DV23"/>
  <c r="DW23"/>
  <c r="DU22"/>
  <c r="DV22"/>
  <c r="DW22"/>
  <c r="AJ12" i="3"/>
  <c r="S12"/>
  <c r="I10" i="2" s="1"/>
  <c r="T12" i="3"/>
  <c r="H11" i="2" s="1"/>
  <c r="U12" i="3"/>
  <c r="I11" i="2" s="1"/>
  <c r="V12" i="3"/>
  <c r="H12" i="2" s="1"/>
  <c r="W12" i="3"/>
  <c r="I12" i="2" s="1"/>
  <c r="X12" i="3"/>
  <c r="H6" i="2" s="1"/>
  <c r="Y12" i="3"/>
  <c r="H13" i="2" s="1"/>
  <c r="Z12" i="3"/>
  <c r="AC12"/>
  <c r="H22" i="2" s="1"/>
  <c r="AD12" i="3"/>
  <c r="H23" i="2" s="1"/>
  <c r="AE12" i="3"/>
  <c r="H24" i="2" s="1"/>
  <c r="AF12" i="3"/>
  <c r="H19" i="2" s="1"/>
  <c r="AG12" i="3"/>
  <c r="H20" i="2" s="1"/>
  <c r="AH12" i="3"/>
  <c r="H21" i="2" s="1"/>
  <c r="M21" s="1"/>
  <c r="AU14" i="1" s="1"/>
  <c r="AI12" i="3"/>
  <c r="H15" i="2" s="1"/>
  <c r="M15" s="1"/>
  <c r="H16"/>
  <c r="M16" s="1"/>
  <c r="G13" s="1"/>
  <c r="AK12" i="3"/>
  <c r="H28" i="2" s="1"/>
  <c r="Q12" i="3"/>
  <c r="H30" i="2" s="1"/>
  <c r="M30" s="1"/>
  <c r="H29"/>
  <c r="H14"/>
  <c r="H10"/>
  <c r="F6"/>
  <c r="D24" i="1"/>
  <c r="BA13"/>
  <c r="S24"/>
  <c r="AO3" i="3"/>
  <c r="AN3"/>
  <c r="F9" i="1"/>
  <c r="AI2"/>
  <c r="AO5"/>
  <c r="AN8" i="3"/>
  <c r="AN7"/>
  <c r="AN6"/>
  <c r="AN5"/>
  <c r="AN4"/>
  <c r="J22" i="2"/>
  <c r="F19"/>
  <c r="M27"/>
  <c r="M4"/>
  <c r="M26"/>
  <c r="M25"/>
  <c r="DS20" i="4"/>
  <c r="DS21" s="1"/>
  <c r="DR20"/>
  <c r="DR21" s="1"/>
  <c r="DP20"/>
  <c r="DP23" s="1"/>
  <c r="M28" i="2" l="1"/>
  <c r="AU18" i="1" s="1"/>
  <c r="M20" i="2"/>
  <c r="AU13" i="1" s="1"/>
  <c r="M14" i="2"/>
  <c r="AL19" i="1" s="1"/>
  <c r="M22" i="2"/>
  <c r="N22" s="1"/>
  <c r="O22" s="1"/>
  <c r="M11"/>
  <c r="N10"/>
  <c r="N12"/>
  <c r="M12"/>
  <c r="H9"/>
  <c r="M13"/>
  <c r="AL18" i="1" s="1"/>
  <c r="M10" i="2"/>
  <c r="AL21" i="1"/>
  <c r="H17" i="2"/>
  <c r="M17" s="1"/>
  <c r="G29"/>
  <c r="M29" s="1"/>
  <c r="AL20" i="1"/>
  <c r="I9" i="2"/>
  <c r="J24"/>
  <c r="M24" s="1"/>
  <c r="J23"/>
  <c r="M23" s="1"/>
  <c r="N11"/>
  <c r="G6"/>
  <c r="M6" s="1"/>
  <c r="M7" s="1"/>
  <c r="N7" s="1"/>
  <c r="G19"/>
  <c r="M19" s="1"/>
  <c r="DP21" i="4"/>
  <c r="DS23"/>
  <c r="DS22"/>
  <c r="DQ23"/>
  <c r="DR23"/>
  <c r="DR22"/>
  <c r="DP22"/>
  <c r="Q22" i="2" l="1"/>
  <c r="AU15" i="1"/>
  <c r="P22" i="2"/>
  <c r="U11"/>
  <c r="O11"/>
  <c r="S11"/>
  <c r="Q11"/>
  <c r="T11"/>
  <c r="P11"/>
  <c r="R11"/>
  <c r="V11"/>
  <c r="S10"/>
  <c r="O10"/>
  <c r="U10"/>
  <c r="Q10"/>
  <c r="P12"/>
  <c r="T12"/>
  <c r="R12"/>
  <c r="V12"/>
  <c r="P10"/>
  <c r="R10"/>
  <c r="V10"/>
  <c r="T10"/>
  <c r="U12"/>
  <c r="Q12"/>
  <c r="O12"/>
  <c r="S12"/>
  <c r="AL17" i="1"/>
  <c r="M18" i="2"/>
  <c r="N18" s="1"/>
  <c r="AU11" i="1" s="1"/>
  <c r="O17" i="2"/>
  <c r="P17"/>
  <c r="Q17"/>
  <c r="R17"/>
  <c r="R22"/>
  <c r="AU17" i="1"/>
  <c r="N24" i="2"/>
  <c r="AU16" i="1"/>
  <c r="N23" i="2"/>
  <c r="R23" s="1"/>
  <c r="AL16" i="1"/>
  <c r="M9" i="2"/>
  <c r="N9"/>
  <c r="N8" s="1"/>
  <c r="AL11" i="1"/>
  <c r="AL15"/>
  <c r="AU10"/>
  <c r="P13" i="2" l="1"/>
  <c r="S13"/>
  <c r="R13"/>
  <c r="V13"/>
  <c r="M8"/>
  <c r="M5" s="1"/>
  <c r="O13"/>
  <c r="U13"/>
  <c r="T13"/>
  <c r="Q13"/>
  <c r="Q24"/>
  <c r="O24"/>
  <c r="P24"/>
  <c r="R24"/>
  <c r="R27" s="1"/>
  <c r="O23"/>
  <c r="P23"/>
  <c r="Q23"/>
  <c r="AL12" i="1"/>
  <c r="AU12"/>
  <c r="S23"/>
  <c r="AL14"/>
  <c r="O27" i="2" l="1"/>
  <c r="Q27"/>
  <c r="P27"/>
  <c r="AL13" i="1"/>
  <c r="N5" i="2"/>
  <c r="AL10" i="1" s="1"/>
</calcChain>
</file>

<file path=xl/comments1.xml><?xml version="1.0" encoding="utf-8"?>
<comments xmlns="http://schemas.openxmlformats.org/spreadsheetml/2006/main">
  <authors>
    <author>satori</author>
  </authors>
  <commentList>
    <comment ref="AG10" authorId="0">
      <text>
        <r>
          <rPr>
            <b/>
            <sz val="8"/>
            <color indexed="81"/>
            <rFont val="Tahoma"/>
            <family val="2"/>
          </rPr>
          <t>including:
- physical and elemental damage
- critical strikes
- hit chance</t>
        </r>
      </text>
    </comment>
    <comment ref="AG15" authorId="0">
      <text>
        <r>
          <rPr>
            <b/>
            <sz val="8"/>
            <color indexed="81"/>
            <rFont val="Tahoma"/>
            <family val="2"/>
          </rPr>
          <t>Monsters on the Beach have extra Fire Resistance</t>
        </r>
      </text>
    </comment>
    <comment ref="AP15" authorId="0">
      <text>
        <r>
          <rPr>
            <b/>
            <sz val="8"/>
            <color indexed="81"/>
            <rFont val="Tahoma"/>
            <family val="2"/>
          </rPr>
          <t>Monsters in Caverns deal extra Fire Damage
Player Resistance penalty:
-30% at Level 50
-30% at Level 70  (total: -60%)</t>
        </r>
      </text>
    </comment>
    <comment ref="AG16" authorId="0">
      <text>
        <r>
          <rPr>
            <b/>
            <sz val="8"/>
            <color indexed="81"/>
            <rFont val="Tahoma"/>
            <family val="2"/>
          </rPr>
          <t>Monsters at Riverways have extra Cold Resistance</t>
        </r>
      </text>
    </comment>
    <comment ref="AP16" authorId="0">
      <text>
        <r>
          <rPr>
            <b/>
            <sz val="8"/>
            <color indexed="81"/>
            <rFont val="Tahoma"/>
            <family val="2"/>
          </rPr>
          <t>Monsters on the Beach deal extra Cold Damage
Player Resistance penalty:
-30% at Level 50
-30% at Level 70  (total: -60%)</t>
        </r>
      </text>
    </comment>
    <comment ref="AG17" authorId="0">
      <text>
        <r>
          <rPr>
            <b/>
            <sz val="8"/>
            <color indexed="81"/>
            <rFont val="Tahoma"/>
            <family val="2"/>
          </rPr>
          <t>Monsters in Caverns have extra Lightning Resistance</t>
        </r>
      </text>
    </comment>
    <comment ref="AP17" authorId="0">
      <text>
        <r>
          <rPr>
            <b/>
            <sz val="8"/>
            <color indexed="81"/>
            <rFont val="Tahoma"/>
            <family val="2"/>
          </rPr>
          <t>Monsters at Riverways deal extra Lightning Damage
Player Resistance penalty:
-30% at Level 50
-30% at Level 70  (total: -60%)</t>
        </r>
      </text>
    </comment>
    <comment ref="AP18" authorId="0">
      <text>
        <r>
          <rPr>
            <b/>
            <sz val="8"/>
            <color indexed="81"/>
            <rFont val="Tahoma"/>
            <family val="2"/>
          </rPr>
          <t>chance for Monsters not to take action after you move</t>
        </r>
      </text>
    </comment>
    <comment ref="AG20" authorId="0">
      <text>
        <r>
          <rPr>
            <b/>
            <sz val="8"/>
            <color indexed="81"/>
            <rFont val="Tahoma"/>
            <family val="2"/>
          </rPr>
          <t>+2 Strength = +1 Life
+5 Strength = +2% increased Physical Damage</t>
        </r>
      </text>
    </comment>
    <comment ref="AG21" authorId="0">
      <text>
        <r>
          <rPr>
            <b/>
            <sz val="8"/>
            <color indexed="81"/>
            <rFont val="Tahoma"/>
            <family val="2"/>
          </rPr>
          <t>+1 Dexterity = +2 to Accuracy Rating
+5 Dexterity = +2% increased Critical Strike Chance</t>
        </r>
      </text>
    </comment>
  </commentList>
</comments>
</file>

<file path=xl/sharedStrings.xml><?xml version="1.0" encoding="utf-8"?>
<sst xmlns="http://schemas.openxmlformats.org/spreadsheetml/2006/main" count="382" uniqueCount="263">
  <si>
    <t>inventory</t>
  </si>
  <si>
    <t>_x000F_</t>
  </si>
  <si>
    <t xml:space="preserve"> </t>
  </si>
  <si>
    <t>!</t>
  </si>
  <si>
    <t>"</t>
  </si>
  <si>
    <t>#</t>
  </si>
  <si>
    <t>$</t>
  </si>
  <si>
    <t>%</t>
  </si>
  <si>
    <t>&amp;</t>
  </si>
  <si>
    <t/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</si>
  <si>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</si>
  <si>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</si>
  <si>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</si>
  <si>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</si>
  <si>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</si>
  <si>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</si>
  <si>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</si>
  <si>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</si>
  <si>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</si>
  <si>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</si>
  <si>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</si>
  <si>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</si>
  <si>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</si>
  <si>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</si>
  <si>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</si>
  <si>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</si>
  <si>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</si>
  <si>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</si>
  <si>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</si>
  <si>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</si>
  <si>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</si>
  <si>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</si>
  <si>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</si>
  <si>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</si>
  <si>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</si>
  <si>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</si>
  <si>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</si>
  <si>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</si>
  <si>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</si>
  <si>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</si>
  <si>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</si>
  <si>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</si>
  <si>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</si>
  <si>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</si>
  <si>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</si>
  <si>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</si>
  <si>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</si>
  <si>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</si>
  <si>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</si>
  <si>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</si>
  <si>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</si>
  <si>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</si>
  <si>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</si>
  <si>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</si>
  <si>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</si>
  <si>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</si>
  <si>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</si>
  <si>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</si>
  <si>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</si>
  <si>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</si>
  <si>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</si>
  <si>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</si>
  <si>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</si>
  <si>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</si>
  <si>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</si>
  <si>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</si>
  <si>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</si>
  <si>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</si>
  <si>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</si>
  <si>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</si>
  <si>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</si>
  <si>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</si>
  <si>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</si>
  <si>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</si>
  <si>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</si>
  <si>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</si>
  <si>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</si>
  <si>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</si>
  <si>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</si>
  <si>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</si>
  <si>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</si>
  <si>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</si>
  <si>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</si>
  <si>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</si>
  <si>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</si>
  <si>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</si>
  <si>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</si>
  <si>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•</t>
  </si>
  <si>
    <t>equipment</t>
  </si>
  <si>
    <t>loot</t>
  </si>
  <si>
    <t>Offense</t>
  </si>
  <si>
    <t>Defense</t>
  </si>
  <si>
    <t>Damage per Attack</t>
  </si>
  <si>
    <t>Accuracy Rating</t>
  </si>
  <si>
    <t>Chance to Hit</t>
  </si>
  <si>
    <t>Total Combined Damage</t>
  </si>
  <si>
    <t>Physical Damage</t>
  </si>
  <si>
    <t>Fire Damage</t>
  </si>
  <si>
    <t>Cold Damage</t>
  </si>
  <si>
    <t>Lightning Damage</t>
  </si>
  <si>
    <t>Critical Strike Chance</t>
  </si>
  <si>
    <t>Critical Strike Multiplier</t>
  </si>
  <si>
    <t>Armour</t>
  </si>
  <si>
    <t>Physical Damage Reduction</t>
  </si>
  <si>
    <t>Life Regeneration</t>
  </si>
  <si>
    <t>Fire Resistance</t>
  </si>
  <si>
    <t>Cold Resistance</t>
  </si>
  <si>
    <t>Lightning Resistance</t>
  </si>
  <si>
    <t>Movement Speed Modifier</t>
  </si>
  <si>
    <t>Life gained on Kill</t>
  </si>
  <si>
    <t>Life</t>
  </si>
  <si>
    <t>#MIN#% increased Physical Damage</t>
  </si>
  <si>
    <t>#MIN#% increased Elemental Damage</t>
  </si>
  <si>
    <t>+#MIN# to Accuracy Rating</t>
  </si>
  <si>
    <t>#MIN#% increased Critical Strike Chance</t>
  </si>
  <si>
    <t>+#MIN#% to Critical Strike Multiplier</t>
  </si>
  <si>
    <t>+#MIN# to Armour</t>
  </si>
  <si>
    <t>#MIN#% increased Armour</t>
  </si>
  <si>
    <t>+#MIN#% to Fire Resistance</t>
  </si>
  <si>
    <t>+#MIN#% to Cold Resistance</t>
  </si>
  <si>
    <t>+#MIN#% to Lightning Resistance</t>
  </si>
  <si>
    <t>+#MIN# to maximum Life</t>
  </si>
  <si>
    <t>Regenerate #MIN# Life per second</t>
  </si>
  <si>
    <t>+#MIN# Life gained on Kill</t>
  </si>
  <si>
    <t>+#MIN# to Strength</t>
  </si>
  <si>
    <t>+#MIN# to Dexterity</t>
  </si>
  <si>
    <t>#MIN#% increased Movement Speed</t>
  </si>
  <si>
    <t>base MIN value</t>
  </si>
  <si>
    <t>base MAX value</t>
  </si>
  <si>
    <t>Slot</t>
  </si>
  <si>
    <t>Rarity</t>
  </si>
  <si>
    <t>Belt</t>
  </si>
  <si>
    <t>Amulet</t>
  </si>
  <si>
    <t>iLVL</t>
  </si>
  <si>
    <t>reqLVL</t>
  </si>
  <si>
    <t>DESC implcit</t>
  </si>
  <si>
    <t>DESC pre1</t>
  </si>
  <si>
    <t>DESC suf1</t>
  </si>
  <si>
    <t>DESC pre2</t>
  </si>
  <si>
    <t>DESC pre3</t>
  </si>
  <si>
    <t>DESC suf2</t>
  </si>
  <si>
    <t>DESC suf3</t>
  </si>
  <si>
    <t>end MIN value</t>
  </si>
  <si>
    <t>end MAX value</t>
  </si>
  <si>
    <t>sum</t>
  </si>
  <si>
    <t>Adds #MIN# Physical Damage</t>
  </si>
  <si>
    <t>Adds #MAX# Physical Damage</t>
  </si>
  <si>
    <t>Adds #MIN# Fire Damage</t>
  </si>
  <si>
    <t>Adds #MAX# Fire Damage</t>
  </si>
  <si>
    <t>Adds #MIN# Cold Damage</t>
  </si>
  <si>
    <t>Adds #MAX# Cold Damage</t>
  </si>
  <si>
    <t>Adds #MIN# Lightning Damage</t>
  </si>
  <si>
    <t>Strength</t>
  </si>
  <si>
    <t>Dexterity</t>
  </si>
  <si>
    <t>Experience</t>
  </si>
  <si>
    <t>{F1}</t>
  </si>
  <si>
    <t>{F2}</t>
  </si>
  <si>
    <t>{F3}</t>
  </si>
  <si>
    <t>{F4}</t>
  </si>
  <si>
    <t>{F5}</t>
  </si>
  <si>
    <t>{F6}</t>
  </si>
  <si>
    <t>{F7}</t>
  </si>
  <si>
    <t>{F8}</t>
  </si>
  <si>
    <t>{F9}</t>
  </si>
  <si>
    <t>{F10}</t>
  </si>
  <si>
    <t>{F11}</t>
  </si>
  <si>
    <t>{F12}</t>
  </si>
  <si>
    <t>{F13}</t>
  </si>
  <si>
    <t>{F14}</t>
  </si>
  <si>
    <t>{F15}</t>
  </si>
  <si>
    <t>{BACKSPACE}</t>
  </si>
  <si>
    <t>{BREAK}</t>
  </si>
  <si>
    <t>{CAPSLOCK}</t>
  </si>
  <si>
    <t>{CLEAR}</t>
  </si>
  <si>
    <t>{DELETE}</t>
  </si>
  <si>
    <t>{DOWN}</t>
  </si>
  <si>
    <t>{END}</t>
  </si>
  <si>
    <t>{ENTER}</t>
  </si>
  <si>
    <t>{ESCAPE}</t>
  </si>
  <si>
    <t>{HELP}</t>
  </si>
  <si>
    <t>{HOME}</t>
  </si>
  <si>
    <t>{INSERT}</t>
  </si>
  <si>
    <t>{LEFT}</t>
  </si>
  <si>
    <t>{NUMLOCK}</t>
  </si>
  <si>
    <t>{PGDN}</t>
  </si>
  <si>
    <t>{PGUP}</t>
  </si>
  <si>
    <t>{RETURN}</t>
  </si>
  <si>
    <t>{RIGHT}</t>
  </si>
  <si>
    <t>{SCROLLLOCK}</t>
  </si>
  <si>
    <t>{TAB}</t>
  </si>
  <si>
    <t>{UP}</t>
  </si>
  <si>
    <t>Ring1</t>
  </si>
  <si>
    <t>Ring2</t>
  </si>
  <si>
    <t>areaLVL</t>
  </si>
  <si>
    <t>playerPosRow</t>
  </si>
  <si>
    <t>playerPosCol</t>
  </si>
  <si>
    <t>bossPosRow</t>
  </si>
  <si>
    <t>bossPosCol</t>
  </si>
  <si>
    <t>Level</t>
  </si>
  <si>
    <t>Damage</t>
  </si>
  <si>
    <t>Evasion</t>
  </si>
  <si>
    <t>Rating</t>
  </si>
  <si>
    <t>Accuracy</t>
  </si>
  <si>
    <t>Points</t>
  </si>
  <si>
    <t>normal</t>
  </si>
  <si>
    <t>magic</t>
  </si>
  <si>
    <t>rare</t>
  </si>
  <si>
    <t>unique</t>
  </si>
  <si>
    <t>life</t>
  </si>
  <si>
    <t>dmg</t>
  </si>
  <si>
    <t>evasion</t>
  </si>
  <si>
    <t>exp</t>
  </si>
  <si>
    <t>Level:</t>
  </si>
  <si>
    <t>Name</t>
  </si>
  <si>
    <t>max Fire Resistance</t>
  </si>
  <si>
    <t>max Cold Resistance</t>
  </si>
  <si>
    <t>max Lightning Resistance</t>
  </si>
  <si>
    <t>attr. bonus</t>
  </si>
  <si>
    <t>min base</t>
  </si>
  <si>
    <t>max base</t>
  </si>
  <si>
    <t>% increased Physical Damage</t>
  </si>
  <si>
    <t>+ from level</t>
  </si>
  <si>
    <t>min gear</t>
  </si>
  <si>
    <t>max gear</t>
  </si>
  <si>
    <t>Total XP</t>
  </si>
  <si>
    <t>XP to Gain</t>
  </si>
  <si>
    <t>player XP table</t>
  </si>
  <si>
    <t>min final</t>
  </si>
  <si>
    <t>max final</t>
  </si>
  <si>
    <t>% increased Elemental Damage</t>
  </si>
  <si>
    <t>penalty</t>
  </si>
  <si>
    <t>next LVL XP</t>
  </si>
  <si>
    <t>curr LVL XP</t>
  </si>
  <si>
    <t>total XP</t>
  </si>
  <si>
    <t>current Life</t>
  </si>
  <si>
    <t>changed  by macro</t>
  </si>
  <si>
    <t>changed by gear</t>
  </si>
  <si>
    <t>current LVL EXP</t>
  </si>
  <si>
    <t>Adds #MAX# Lightning Damage</t>
  </si>
  <si>
    <t>implicit:</t>
  </si>
  <si>
    <t>full item for comment</t>
  </si>
  <si>
    <t>FErow placeholder</t>
  </si>
  <si>
    <t>LocRow</t>
  </si>
  <si>
    <t>LocCol</t>
  </si>
  <si>
    <t>fire res</t>
  </si>
  <si>
    <t>cold res</t>
  </si>
  <si>
    <t>light res</t>
  </si>
  <si>
    <t>fire dmg</t>
  </si>
  <si>
    <t>cold dmg</t>
  </si>
  <si>
    <t>light dmg</t>
  </si>
  <si>
    <t>maptype</t>
  </si>
  <si>
    <t>Beach</t>
  </si>
  <si>
    <t>Riverways</t>
  </si>
  <si>
    <t>Caverns</t>
  </si>
  <si>
    <t>resistances</t>
  </si>
  <si>
    <t>extra ele dmg</t>
  </si>
  <si>
    <t>actual phys damage taken by player from</t>
  </si>
  <si>
    <t>actual ele damage taken by player from</t>
  </si>
  <si>
    <t>actual total damage taken by player</t>
  </si>
  <si>
    <t xml:space="preserve">total: </t>
  </si>
  <si>
    <t>actual player damage against (min-max)</t>
  </si>
  <si>
    <t>Monster -
Life</t>
  </si>
  <si>
    <t>&lt;-- rows not used atm</t>
  </si>
</sst>
</file>

<file path=xl/styles.xml><?xml version="1.0" encoding="utf-8"?>
<styleSheet xmlns="http://schemas.openxmlformats.org/spreadsheetml/2006/main">
  <numFmts count="1">
    <numFmt numFmtId="164" formatCode=";;;"/>
  </numFmts>
  <fonts count="27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C81414"/>
      <name val="Calibri"/>
      <family val="2"/>
      <scheme val="minor"/>
    </font>
    <font>
      <b/>
      <sz val="22"/>
      <color rgb="FFB45A1E"/>
      <name val="Calibri"/>
      <family val="2"/>
      <scheme val="minor"/>
    </font>
    <font>
      <b/>
      <sz val="22"/>
      <color rgb="FF1E1E8C"/>
      <name val="Calibri"/>
      <family val="2"/>
      <scheme val="minor"/>
    </font>
    <font>
      <b/>
      <sz val="22"/>
      <color rgb="FF787878"/>
      <name val="Calibri"/>
      <family val="2"/>
      <scheme val="minor"/>
    </font>
    <font>
      <b/>
      <sz val="22"/>
      <name val="Calibri"/>
      <family val="2"/>
      <scheme val="minor"/>
    </font>
    <font>
      <sz val="11"/>
      <color rgb="FFC00000"/>
      <name val="Calibri"/>
      <family val="2"/>
      <scheme val="minor"/>
    </font>
    <font>
      <sz val="14"/>
      <color rgb="FFC00000"/>
      <name val="Balthazar"/>
    </font>
    <font>
      <sz val="11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 tint="-0.14999847407452621"/>
      <name val="Balthazar"/>
    </font>
    <font>
      <b/>
      <sz val="12"/>
      <color rgb="FF960000"/>
      <name val="Balthazar"/>
    </font>
    <font>
      <sz val="14"/>
      <color rgb="FF960000"/>
      <name val="Balthazar"/>
    </font>
    <font>
      <sz val="11"/>
      <color rgb="FF960000"/>
      <name val="Calibri"/>
      <family val="2"/>
      <scheme val="minor"/>
    </font>
    <font>
      <b/>
      <sz val="24"/>
      <color rgb="FF960000"/>
      <name val="Balthazar"/>
    </font>
    <font>
      <sz val="16"/>
      <color rgb="FF960000"/>
      <name val="Balthazar"/>
    </font>
    <font>
      <sz val="12"/>
      <color rgb="FF960000"/>
      <name val="Balthazar"/>
    </font>
    <font>
      <sz val="26"/>
      <color rgb="FF960000"/>
      <name val="Balthazar"/>
    </font>
    <font>
      <sz val="8"/>
      <color theme="1"/>
      <name val="Calibri"/>
      <family val="2"/>
      <scheme val="minor"/>
    </font>
    <font>
      <b/>
      <sz val="22"/>
      <color rgb="FFBEBE1E"/>
      <name val="Calibri"/>
      <family val="2"/>
      <scheme val="minor"/>
    </font>
  </fonts>
  <fills count="4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463C2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gradientFill degree="180">
        <stop position="0">
          <color theme="1"/>
        </stop>
        <stop position="1">
          <color rgb="FF787878"/>
        </stop>
      </gradientFill>
    </fill>
    <fill>
      <gradientFill>
        <stop position="0">
          <color theme="1"/>
        </stop>
        <stop position="1">
          <color rgb="FF787878"/>
        </stop>
      </gradientFill>
    </fill>
    <fill>
      <gradientFill degree="270">
        <stop position="0">
          <color rgb="FF787878"/>
        </stop>
        <stop position="1">
          <color theme="1"/>
        </stop>
      </gradientFill>
    </fill>
    <fill>
      <gradientFill degree="270">
        <stop position="0">
          <color theme="1"/>
        </stop>
        <stop position="1">
          <color rgb="FF787878"/>
        </stop>
      </gradientFill>
    </fill>
    <fill>
      <gradientFill type="path">
        <stop position="0">
          <color rgb="FF787878"/>
        </stop>
        <stop position="1">
          <color theme="1"/>
        </stop>
      </gradientFill>
    </fill>
    <fill>
      <gradientFill type="path" left="1" right="1" top="1" bottom="1">
        <stop position="0">
          <color rgb="FF787878"/>
        </stop>
        <stop position="1">
          <color theme="1"/>
        </stop>
      </gradientFill>
    </fill>
    <fill>
      <gradientFill type="path" top="1" bottom="1">
        <stop position="0">
          <color rgb="FF787878"/>
        </stop>
        <stop position="1">
          <color theme="1"/>
        </stop>
      </gradientFill>
    </fill>
    <fill>
      <gradientFill type="path" left="1" right="1">
        <stop position="0">
          <color rgb="FF787878"/>
        </stop>
        <stop position="1">
          <color theme="1"/>
        </stop>
      </gradientFill>
    </fill>
    <fill>
      <patternFill patternType="solid">
        <fgColor rgb="FF0081A2"/>
        <bgColor indexed="64"/>
      </patternFill>
    </fill>
    <fill>
      <patternFill patternType="solid">
        <fgColor rgb="FF004678"/>
        <bgColor indexed="64"/>
      </patternFill>
    </fill>
    <fill>
      <patternFill patternType="solid">
        <fgColor rgb="FF0080A5"/>
        <bgColor indexed="64"/>
      </patternFill>
    </fill>
    <fill>
      <patternFill patternType="solid">
        <fgColor rgb="FF0082A4"/>
        <bgColor indexed="64"/>
      </patternFill>
    </fill>
    <fill>
      <patternFill patternType="solid">
        <fgColor rgb="FF0080A4"/>
        <bgColor indexed="64"/>
      </patternFill>
    </fill>
    <fill>
      <patternFill patternType="solid">
        <fgColor rgb="FF007EA5"/>
        <bgColor indexed="64"/>
      </patternFill>
    </fill>
    <fill>
      <patternFill patternType="solid">
        <fgColor rgb="FF007CA5"/>
        <bgColor indexed="64"/>
      </patternFill>
    </fill>
    <fill>
      <patternFill patternType="solid">
        <fgColor rgb="FF007EA3"/>
        <bgColor indexed="64"/>
      </patternFill>
    </fill>
    <fill>
      <patternFill patternType="solid">
        <fgColor rgb="FF007BA3"/>
        <bgColor indexed="64"/>
      </patternFill>
    </fill>
    <fill>
      <patternFill patternType="solid">
        <fgColor rgb="FF007FA5"/>
        <bgColor indexed="64"/>
      </patternFill>
    </fill>
    <fill>
      <patternFill patternType="solid">
        <fgColor rgb="FF007BA5"/>
        <bgColor indexed="64"/>
      </patternFill>
    </fill>
    <fill>
      <patternFill patternType="solid">
        <fgColor rgb="FF0079A3"/>
        <bgColor indexed="64"/>
      </patternFill>
    </fill>
    <fill>
      <patternFill patternType="solid">
        <fgColor rgb="FF007AA4"/>
        <bgColor indexed="64"/>
      </patternFill>
    </fill>
    <fill>
      <patternFill patternType="solid">
        <fgColor rgb="FF0079A2"/>
        <bgColor indexed="64"/>
      </patternFill>
    </fill>
    <fill>
      <patternFill patternType="solid">
        <fgColor rgb="FF007AA3"/>
        <bgColor indexed="64"/>
      </patternFill>
    </fill>
    <fill>
      <patternFill patternType="solid">
        <fgColor rgb="FF0081A4"/>
        <bgColor indexed="64"/>
      </patternFill>
    </fill>
    <fill>
      <patternFill patternType="solid">
        <fgColor rgb="FF007AA2"/>
        <bgColor indexed="64"/>
      </patternFill>
    </fill>
    <fill>
      <patternFill patternType="solid">
        <fgColor rgb="FF0081A5"/>
        <bgColor indexed="64"/>
      </patternFill>
    </fill>
    <fill>
      <patternFill patternType="solid">
        <fgColor rgb="FF007CA4"/>
        <bgColor indexed="64"/>
      </patternFill>
    </fill>
    <fill>
      <patternFill patternType="solid">
        <fgColor rgb="FF007DA2"/>
        <bgColor indexed="64"/>
      </patternFill>
    </fill>
    <fill>
      <patternFill patternType="solid">
        <fgColor rgb="FF007FA3"/>
        <bgColor indexed="64"/>
      </patternFill>
    </fill>
    <fill>
      <patternFill patternType="solid">
        <fgColor rgb="FF0080A1"/>
        <bgColor indexed="64"/>
      </patternFill>
    </fill>
    <fill>
      <patternFill patternType="solid">
        <fgColor rgb="FF0079A4"/>
        <bgColor indexed="64"/>
      </patternFill>
    </fill>
    <fill>
      <patternFill patternType="solid">
        <fgColor rgb="FF007DA1"/>
        <bgColor indexed="64"/>
      </patternFill>
    </fill>
    <fill>
      <patternFill patternType="solid">
        <fgColor rgb="FF0081A1"/>
        <bgColor indexed="64"/>
      </patternFill>
    </fill>
    <fill>
      <patternFill patternType="solid">
        <fgColor rgb="FF0079A5"/>
        <bgColor indexed="64"/>
      </patternFill>
    </fill>
    <fill>
      <patternFill patternType="solid">
        <fgColor rgb="FF007FA2"/>
        <bgColor indexed="64"/>
      </patternFill>
    </fill>
    <fill>
      <patternFill patternType="solid">
        <fgColor rgb="FF007EA1"/>
        <bgColor indexed="64"/>
      </patternFill>
    </fill>
    <fill>
      <patternFill patternType="solid">
        <fgColor rgb="FF007CA2"/>
        <bgColor indexed="64"/>
      </patternFill>
    </fill>
    <fill>
      <patternFill patternType="solid">
        <fgColor rgb="FF0082A1"/>
        <bgColor indexed="64"/>
      </patternFill>
    </fill>
    <fill>
      <patternFill patternType="solid">
        <fgColor rgb="FF007AA1"/>
        <bgColor indexed="64"/>
      </patternFill>
    </fill>
    <fill>
      <patternFill patternType="solid">
        <fgColor rgb="FF0082A5"/>
        <bgColor indexed="64"/>
      </patternFill>
    </fill>
    <fill>
      <patternFill patternType="solid">
        <fgColor rgb="FF007DA4"/>
        <bgColor indexed="64"/>
      </patternFill>
    </fill>
    <fill>
      <patternFill patternType="solid">
        <fgColor rgb="FF0081A3"/>
        <bgColor indexed="64"/>
      </patternFill>
    </fill>
    <fill>
      <patternFill patternType="solid">
        <fgColor rgb="FF0079A1"/>
        <bgColor indexed="64"/>
      </patternFill>
    </fill>
    <fill>
      <patternFill patternType="solid">
        <fgColor rgb="FF007BA4"/>
        <bgColor indexed="64"/>
      </patternFill>
    </fill>
    <fill>
      <patternFill patternType="solid">
        <fgColor rgb="FF007FA4"/>
        <bgColor indexed="64"/>
      </patternFill>
    </fill>
    <fill>
      <patternFill patternType="solid">
        <fgColor rgb="FF007EA2"/>
        <bgColor indexed="64"/>
      </patternFill>
    </fill>
    <fill>
      <patternFill patternType="solid">
        <fgColor rgb="FF007FA1"/>
        <bgColor indexed="64"/>
      </patternFill>
    </fill>
    <fill>
      <patternFill patternType="solid">
        <fgColor rgb="FF007EA4"/>
        <bgColor indexed="64"/>
      </patternFill>
    </fill>
    <fill>
      <patternFill patternType="solid">
        <fgColor rgb="FF007DA5"/>
        <bgColor indexed="64"/>
      </patternFill>
    </fill>
    <fill>
      <patternFill patternType="solid">
        <fgColor rgb="FF007BA2"/>
        <bgColor indexed="64"/>
      </patternFill>
    </fill>
    <fill>
      <patternFill patternType="solid">
        <fgColor rgb="FF0082A3"/>
        <bgColor indexed="64"/>
      </patternFill>
    </fill>
    <fill>
      <patternFill patternType="solid">
        <fgColor rgb="FF0080A2"/>
        <bgColor indexed="64"/>
      </patternFill>
    </fill>
    <fill>
      <patternFill patternType="solid">
        <fgColor rgb="FF007AA5"/>
        <bgColor indexed="64"/>
      </patternFill>
    </fill>
    <fill>
      <patternFill patternType="solid">
        <fgColor rgb="FF0080A3"/>
        <bgColor indexed="64"/>
      </patternFill>
    </fill>
    <fill>
      <patternFill patternType="solid">
        <fgColor rgb="FF007CA1"/>
        <bgColor indexed="64"/>
      </patternFill>
    </fill>
    <fill>
      <patternFill patternType="solid">
        <fgColor rgb="FF0082A2"/>
        <bgColor indexed="64"/>
      </patternFill>
    </fill>
    <fill>
      <patternFill patternType="solid">
        <fgColor rgb="FF007CA3"/>
        <bgColor indexed="64"/>
      </patternFill>
    </fill>
    <fill>
      <patternFill patternType="solid">
        <fgColor rgb="FF007BA1"/>
        <bgColor indexed="64"/>
      </patternFill>
    </fill>
    <fill>
      <patternFill patternType="solid">
        <fgColor rgb="FF007DA3"/>
        <bgColor indexed="64"/>
      </patternFill>
    </fill>
    <fill>
      <patternFill patternType="solid">
        <fgColor rgb="FF2C8914"/>
        <bgColor indexed="64"/>
      </patternFill>
    </fill>
    <fill>
      <patternFill patternType="solid">
        <fgColor rgb="FF498615"/>
        <bgColor indexed="64"/>
      </patternFill>
    </fill>
    <fill>
      <patternFill patternType="solid">
        <fgColor rgb="FF459D1D"/>
        <bgColor indexed="64"/>
      </patternFill>
    </fill>
    <fill>
      <patternFill patternType="solid">
        <fgColor rgb="FF29961A"/>
        <bgColor indexed="64"/>
      </patternFill>
    </fill>
    <fill>
      <patternFill patternType="solid">
        <fgColor rgb="FF558F16"/>
        <bgColor indexed="64"/>
      </patternFill>
    </fill>
    <fill>
      <patternFill patternType="solid">
        <fgColor rgb="FF62971D"/>
        <bgColor indexed="64"/>
      </patternFill>
    </fill>
    <fill>
      <patternFill patternType="solid">
        <fgColor rgb="FF28901A"/>
        <bgColor indexed="64"/>
      </patternFill>
    </fill>
    <fill>
      <patternFill patternType="solid">
        <fgColor rgb="FF238814"/>
        <bgColor indexed="64"/>
      </patternFill>
    </fill>
    <fill>
      <patternFill patternType="solid">
        <fgColor rgb="FF1F9016"/>
        <bgColor indexed="64"/>
      </patternFill>
    </fill>
    <fill>
      <patternFill patternType="solid">
        <fgColor rgb="FF408A16"/>
        <bgColor indexed="64"/>
      </patternFill>
    </fill>
    <fill>
      <patternFill patternType="solid">
        <fgColor rgb="FF5B9E14"/>
        <bgColor indexed="64"/>
      </patternFill>
    </fill>
    <fill>
      <patternFill patternType="solid">
        <fgColor rgb="FF218518"/>
        <bgColor indexed="64"/>
      </patternFill>
    </fill>
    <fill>
      <patternFill patternType="solid">
        <fgColor rgb="FF379518"/>
        <bgColor indexed="64"/>
      </patternFill>
    </fill>
    <fill>
      <patternFill patternType="solid">
        <fgColor rgb="FF0D8814"/>
        <bgColor indexed="64"/>
      </patternFill>
    </fill>
    <fill>
      <patternFill patternType="solid">
        <fgColor rgb="FF218B16"/>
        <bgColor indexed="64"/>
      </patternFill>
    </fill>
    <fill>
      <patternFill patternType="solid">
        <fgColor rgb="FF4A8B16"/>
        <bgColor indexed="64"/>
      </patternFill>
    </fill>
    <fill>
      <patternFill patternType="solid">
        <fgColor rgb="FF4D9514"/>
        <bgColor indexed="64"/>
      </patternFill>
    </fill>
    <fill>
      <patternFill patternType="solid">
        <fgColor rgb="FF039E15"/>
        <bgColor indexed="64"/>
      </patternFill>
    </fill>
    <fill>
      <patternFill patternType="solid">
        <fgColor rgb="FF369317"/>
        <bgColor indexed="64"/>
      </patternFill>
    </fill>
    <fill>
      <patternFill patternType="solid">
        <fgColor rgb="FF019F18"/>
        <bgColor indexed="64"/>
      </patternFill>
    </fill>
    <fill>
      <patternFill patternType="solid">
        <fgColor rgb="FF15861C"/>
        <bgColor indexed="64"/>
      </patternFill>
    </fill>
    <fill>
      <patternFill patternType="solid">
        <fgColor rgb="FF1E921D"/>
        <bgColor indexed="64"/>
      </patternFill>
    </fill>
    <fill>
      <patternFill patternType="solid">
        <fgColor rgb="FF0B911A"/>
        <bgColor indexed="64"/>
      </patternFill>
    </fill>
    <fill>
      <patternFill patternType="solid">
        <fgColor rgb="FF619A14"/>
        <bgColor indexed="64"/>
      </patternFill>
    </fill>
    <fill>
      <patternFill patternType="solid">
        <fgColor rgb="FF43901A"/>
        <bgColor indexed="64"/>
      </patternFill>
    </fill>
    <fill>
      <patternFill patternType="solid">
        <fgColor rgb="FF398416"/>
        <bgColor indexed="64"/>
      </patternFill>
    </fill>
    <fill>
      <patternFill patternType="solid">
        <fgColor rgb="FF378E1D"/>
        <bgColor indexed="64"/>
      </patternFill>
    </fill>
    <fill>
      <patternFill patternType="solid">
        <fgColor rgb="FF3A9D19"/>
        <bgColor indexed="64"/>
      </patternFill>
    </fill>
    <fill>
      <patternFill patternType="solid">
        <fgColor rgb="FF099717"/>
        <bgColor indexed="64"/>
      </patternFill>
    </fill>
    <fill>
      <patternFill patternType="solid">
        <fgColor rgb="FF0E9E1A"/>
        <bgColor indexed="64"/>
      </patternFill>
    </fill>
    <fill>
      <patternFill patternType="solid">
        <fgColor rgb="FF629C14"/>
        <bgColor indexed="64"/>
      </patternFill>
    </fill>
    <fill>
      <patternFill patternType="solid">
        <fgColor rgb="FF428316"/>
        <bgColor indexed="64"/>
      </patternFill>
    </fill>
    <fill>
      <patternFill patternType="solid">
        <fgColor rgb="FF328B1B"/>
        <bgColor indexed="64"/>
      </patternFill>
    </fill>
    <fill>
      <patternFill patternType="solid">
        <fgColor rgb="FF4E9316"/>
        <bgColor indexed="64"/>
      </patternFill>
    </fill>
    <fill>
      <patternFill patternType="solid">
        <fgColor rgb="FF268717"/>
        <bgColor indexed="64"/>
      </patternFill>
    </fill>
    <fill>
      <patternFill patternType="solid">
        <fgColor rgb="FF10871A"/>
        <bgColor indexed="64"/>
      </patternFill>
    </fill>
    <fill>
      <patternFill patternType="solid">
        <fgColor rgb="FF3A9D14"/>
        <bgColor indexed="64"/>
      </patternFill>
    </fill>
    <fill>
      <patternFill patternType="solid">
        <fgColor rgb="FF5D8C16"/>
        <bgColor indexed="64"/>
      </patternFill>
    </fill>
    <fill>
      <patternFill patternType="solid">
        <fgColor rgb="FF4F8817"/>
        <bgColor indexed="64"/>
      </patternFill>
    </fill>
    <fill>
      <patternFill patternType="solid">
        <fgColor rgb="FF638A17"/>
        <bgColor indexed="64"/>
      </patternFill>
    </fill>
    <fill>
      <patternFill patternType="solid">
        <fgColor rgb="FF178E14"/>
        <bgColor indexed="64"/>
      </patternFill>
    </fill>
    <fill>
      <patternFill patternType="solid">
        <fgColor rgb="FF2C8A1B"/>
        <bgColor indexed="64"/>
      </patternFill>
    </fill>
    <fill>
      <patternFill patternType="solid">
        <fgColor rgb="FF5E8A16"/>
        <bgColor indexed="64"/>
      </patternFill>
    </fill>
    <fill>
      <patternFill patternType="solid">
        <fgColor rgb="FF5B9416"/>
        <bgColor indexed="64"/>
      </patternFill>
    </fill>
    <fill>
      <patternFill patternType="solid">
        <fgColor rgb="FF54981B"/>
        <bgColor indexed="64"/>
      </patternFill>
    </fill>
    <fill>
      <patternFill patternType="solid">
        <fgColor rgb="FF0A9717"/>
        <bgColor indexed="64"/>
      </patternFill>
    </fill>
    <fill>
      <patternFill patternType="solid">
        <fgColor rgb="FF499516"/>
        <bgColor indexed="64"/>
      </patternFill>
    </fill>
    <fill>
      <patternFill patternType="solid">
        <fgColor rgb="FF4B9919"/>
        <bgColor indexed="64"/>
      </patternFill>
    </fill>
    <fill>
      <patternFill patternType="solid">
        <fgColor rgb="FF47821D"/>
        <bgColor indexed="64"/>
      </patternFill>
    </fill>
    <fill>
      <patternFill patternType="solid">
        <fgColor rgb="FF128B1C"/>
        <bgColor indexed="64"/>
      </patternFill>
    </fill>
    <fill>
      <patternFill patternType="solid">
        <fgColor rgb="FF588F1B"/>
        <bgColor indexed="64"/>
      </patternFill>
    </fill>
    <fill>
      <patternFill patternType="solid">
        <fgColor rgb="FF10941A"/>
        <bgColor indexed="64"/>
      </patternFill>
    </fill>
    <fill>
      <patternFill patternType="solid">
        <fgColor rgb="FF2A9314"/>
        <bgColor indexed="64"/>
      </patternFill>
    </fill>
    <fill>
      <patternFill patternType="solid">
        <fgColor rgb="FF3E8317"/>
        <bgColor indexed="64"/>
      </patternFill>
    </fill>
    <fill>
      <patternFill patternType="solid">
        <fgColor rgb="FF1D851C"/>
        <bgColor indexed="64"/>
      </patternFill>
    </fill>
    <fill>
      <patternFill patternType="solid">
        <fgColor rgb="FF599D17"/>
        <bgColor indexed="64"/>
      </patternFill>
    </fill>
    <fill>
      <patternFill patternType="solid">
        <fgColor rgb="FF08911D"/>
        <bgColor indexed="64"/>
      </patternFill>
    </fill>
    <fill>
      <patternFill patternType="solid">
        <fgColor rgb="FF3F8717"/>
        <bgColor indexed="64"/>
      </patternFill>
    </fill>
    <fill>
      <patternFill patternType="solid">
        <fgColor rgb="FF228817"/>
        <bgColor indexed="64"/>
      </patternFill>
    </fill>
    <fill>
      <patternFill patternType="solid">
        <fgColor rgb="FF139914"/>
        <bgColor indexed="64"/>
      </patternFill>
    </fill>
    <fill>
      <patternFill patternType="solid">
        <fgColor rgb="FF34821C"/>
        <bgColor indexed="64"/>
      </patternFill>
    </fill>
    <fill>
      <patternFill patternType="solid">
        <fgColor rgb="FF318E1D"/>
        <bgColor indexed="64"/>
      </patternFill>
    </fill>
    <fill>
      <patternFill patternType="solid">
        <fgColor rgb="FF2B8317"/>
        <bgColor indexed="64"/>
      </patternFill>
    </fill>
    <fill>
      <patternFill patternType="solid">
        <fgColor rgb="FF528919"/>
        <bgColor indexed="64"/>
      </patternFill>
    </fill>
    <fill>
      <patternFill patternType="solid">
        <fgColor rgb="FF469C1B"/>
        <bgColor indexed="64"/>
      </patternFill>
    </fill>
    <fill>
      <patternFill patternType="solid">
        <fgColor rgb="FF4C971C"/>
        <bgColor indexed="64"/>
      </patternFill>
    </fill>
    <fill>
      <patternFill patternType="solid">
        <fgColor rgb="FF499A1A"/>
        <bgColor indexed="64"/>
      </patternFill>
    </fill>
    <fill>
      <patternFill patternType="solid">
        <fgColor rgb="FF619F1D"/>
        <bgColor indexed="64"/>
      </patternFill>
    </fill>
    <fill>
      <patternFill patternType="solid">
        <fgColor rgb="FF168615"/>
        <bgColor indexed="64"/>
      </patternFill>
    </fill>
    <fill>
      <patternFill patternType="solid">
        <fgColor rgb="FF378418"/>
        <bgColor indexed="64"/>
      </patternFill>
    </fill>
    <fill>
      <patternFill patternType="solid">
        <fgColor rgb="FF5E8716"/>
        <bgColor indexed="64"/>
      </patternFill>
    </fill>
    <fill>
      <patternFill patternType="solid">
        <fgColor rgb="FF4B9519"/>
        <bgColor indexed="64"/>
      </patternFill>
    </fill>
    <fill>
      <patternFill patternType="solid">
        <fgColor rgb="FF5D981C"/>
        <bgColor indexed="64"/>
      </patternFill>
    </fill>
    <fill>
      <patternFill patternType="solid">
        <fgColor rgb="FF278418"/>
        <bgColor indexed="64"/>
      </patternFill>
    </fill>
    <fill>
      <patternFill patternType="solid">
        <fgColor rgb="FF3C9119"/>
        <bgColor indexed="64"/>
      </patternFill>
    </fill>
    <fill>
      <patternFill patternType="solid">
        <fgColor rgb="FF19871D"/>
        <bgColor indexed="64"/>
      </patternFill>
    </fill>
    <fill>
      <patternFill patternType="solid">
        <fgColor rgb="FF4F8418"/>
        <bgColor indexed="64"/>
      </patternFill>
    </fill>
    <fill>
      <patternFill patternType="solid">
        <fgColor rgb="FF118A1A"/>
        <bgColor indexed="64"/>
      </patternFill>
    </fill>
    <fill>
      <patternFill patternType="solid">
        <fgColor rgb="FF099A17"/>
        <bgColor indexed="64"/>
      </patternFill>
    </fill>
    <fill>
      <patternFill patternType="solid">
        <fgColor rgb="FF088C18"/>
        <bgColor indexed="64"/>
      </patternFill>
    </fill>
    <fill>
      <patternFill patternType="solid">
        <fgColor rgb="FF22851D"/>
        <bgColor indexed="64"/>
      </patternFill>
    </fill>
    <fill>
      <patternFill patternType="solid">
        <fgColor rgb="FF2B9D16"/>
        <bgColor indexed="64"/>
      </patternFill>
    </fill>
    <fill>
      <patternFill patternType="solid">
        <fgColor rgb="FF1B931A"/>
        <bgColor indexed="64"/>
      </patternFill>
    </fill>
    <fill>
      <patternFill patternType="solid">
        <fgColor rgb="FF318619"/>
        <bgColor indexed="64"/>
      </patternFill>
    </fill>
    <fill>
      <patternFill patternType="solid">
        <fgColor rgb="FF1B9119"/>
        <bgColor indexed="64"/>
      </patternFill>
    </fill>
    <fill>
      <patternFill patternType="solid">
        <fgColor rgb="FF4E9915"/>
        <bgColor indexed="64"/>
      </patternFill>
    </fill>
    <fill>
      <patternFill patternType="solid">
        <fgColor rgb="FF288617"/>
        <bgColor indexed="64"/>
      </patternFill>
    </fill>
    <fill>
      <patternFill patternType="solid">
        <fgColor rgb="FF468E18"/>
        <bgColor indexed="64"/>
      </patternFill>
    </fill>
    <fill>
      <patternFill patternType="solid">
        <fgColor rgb="FF4A9919"/>
        <bgColor indexed="64"/>
      </patternFill>
    </fill>
    <fill>
      <patternFill patternType="solid">
        <fgColor rgb="FF2D8218"/>
        <bgColor indexed="64"/>
      </patternFill>
    </fill>
    <fill>
      <patternFill patternType="solid">
        <fgColor rgb="FF1A8618"/>
        <bgColor indexed="64"/>
      </patternFill>
    </fill>
    <fill>
      <patternFill patternType="solid">
        <fgColor rgb="FF08951C"/>
        <bgColor indexed="64"/>
      </patternFill>
    </fill>
    <fill>
      <patternFill patternType="solid">
        <fgColor rgb="FF2D8418"/>
        <bgColor indexed="64"/>
      </patternFill>
    </fill>
    <fill>
      <patternFill patternType="solid">
        <fgColor rgb="FF1C9B16"/>
        <bgColor indexed="64"/>
      </patternFill>
    </fill>
    <fill>
      <patternFill patternType="solid">
        <fgColor rgb="FF299615"/>
        <bgColor indexed="64"/>
      </patternFill>
    </fill>
    <fill>
      <patternFill patternType="solid">
        <fgColor rgb="FF1A9C18"/>
        <bgColor indexed="64"/>
      </patternFill>
    </fill>
    <fill>
      <patternFill patternType="solid">
        <fgColor rgb="FF299B14"/>
        <bgColor indexed="64"/>
      </patternFill>
    </fill>
    <fill>
      <patternFill patternType="solid">
        <fgColor rgb="FF56881A"/>
        <bgColor indexed="64"/>
      </patternFill>
    </fill>
    <fill>
      <patternFill patternType="solid">
        <fgColor rgb="FF368318"/>
        <bgColor indexed="64"/>
      </patternFill>
    </fill>
    <fill>
      <patternFill patternType="solid">
        <fgColor rgb="FF578B16"/>
        <bgColor indexed="64"/>
      </patternFill>
    </fill>
    <fill>
      <patternFill patternType="solid">
        <fgColor rgb="FF4F9D1A"/>
        <bgColor indexed="64"/>
      </patternFill>
    </fill>
    <fill>
      <patternFill patternType="solid">
        <fgColor rgb="FF4D8F18"/>
        <bgColor indexed="64"/>
      </patternFill>
    </fill>
    <fill>
      <patternFill patternType="solid">
        <fgColor rgb="FF538C1A"/>
        <bgColor indexed="64"/>
      </patternFill>
    </fill>
    <fill>
      <patternFill patternType="solid">
        <fgColor rgb="FF329F14"/>
        <bgColor indexed="64"/>
      </patternFill>
    </fill>
    <fill>
      <patternFill patternType="solid">
        <fgColor rgb="FF1C8D15"/>
        <bgColor indexed="64"/>
      </patternFill>
    </fill>
    <fill>
      <patternFill patternType="solid">
        <fgColor rgb="FF159C1A"/>
        <bgColor indexed="64"/>
      </patternFill>
    </fill>
    <fill>
      <patternFill patternType="solid">
        <fgColor rgb="FF3D981D"/>
        <bgColor indexed="64"/>
      </patternFill>
    </fill>
    <fill>
      <patternFill patternType="solid">
        <fgColor rgb="FF55861B"/>
        <bgColor indexed="64"/>
      </patternFill>
    </fill>
    <fill>
      <patternFill patternType="solid">
        <fgColor rgb="FF409A15"/>
        <bgColor indexed="64"/>
      </patternFill>
    </fill>
    <fill>
      <patternFill patternType="solid">
        <fgColor rgb="FF5B9E18"/>
        <bgColor indexed="64"/>
      </patternFill>
    </fill>
    <fill>
      <patternFill patternType="solid">
        <fgColor rgb="FF138718"/>
        <bgColor indexed="64"/>
      </patternFill>
    </fill>
    <fill>
      <patternFill patternType="solid">
        <fgColor rgb="FF128718"/>
        <bgColor indexed="64"/>
      </patternFill>
    </fill>
    <fill>
      <patternFill patternType="solid">
        <fgColor rgb="FF588819"/>
        <bgColor indexed="64"/>
      </patternFill>
    </fill>
    <fill>
      <patternFill patternType="solid">
        <fgColor rgb="FF2E8619"/>
        <bgColor indexed="64"/>
      </patternFill>
    </fill>
    <fill>
      <patternFill patternType="solid">
        <fgColor rgb="FF359D18"/>
        <bgColor indexed="64"/>
      </patternFill>
    </fill>
    <fill>
      <patternFill patternType="solid">
        <fgColor rgb="FF2F9115"/>
        <bgColor indexed="64"/>
      </patternFill>
    </fill>
    <fill>
      <patternFill patternType="solid">
        <fgColor rgb="FF218915"/>
        <bgColor indexed="64"/>
      </patternFill>
    </fill>
    <fill>
      <patternFill patternType="solid">
        <fgColor rgb="FF5B991D"/>
        <bgColor indexed="64"/>
      </patternFill>
    </fill>
    <fill>
      <patternFill patternType="solid">
        <fgColor rgb="FF569F1D"/>
        <bgColor indexed="64"/>
      </patternFill>
    </fill>
    <fill>
      <patternFill patternType="solid">
        <fgColor rgb="FF5E8D19"/>
        <bgColor indexed="64"/>
      </patternFill>
    </fill>
    <fill>
      <patternFill patternType="solid">
        <fgColor rgb="FF5A8215"/>
        <bgColor indexed="64"/>
      </patternFill>
    </fill>
    <fill>
      <patternFill patternType="solid">
        <fgColor rgb="FF178D1A"/>
        <bgColor indexed="64"/>
      </patternFill>
    </fill>
    <fill>
      <patternFill patternType="solid">
        <fgColor rgb="FF3B931A"/>
        <bgColor indexed="64"/>
      </patternFill>
    </fill>
    <fill>
      <patternFill patternType="solid">
        <fgColor rgb="FF089F1C"/>
        <bgColor indexed="64"/>
      </patternFill>
    </fill>
    <fill>
      <patternFill patternType="solid">
        <fgColor rgb="FF19961D"/>
        <bgColor indexed="64"/>
      </patternFill>
    </fill>
    <fill>
      <patternFill patternType="solid">
        <fgColor rgb="FF488815"/>
        <bgColor indexed="64"/>
      </patternFill>
    </fill>
    <fill>
      <patternFill patternType="solid">
        <fgColor rgb="FF549D1B"/>
        <bgColor indexed="64"/>
      </patternFill>
    </fill>
    <fill>
      <patternFill patternType="solid">
        <fgColor rgb="FF158D1D"/>
        <bgColor indexed="64"/>
      </patternFill>
    </fill>
    <fill>
      <patternFill patternType="solid">
        <fgColor rgb="FF5D851B"/>
        <bgColor indexed="64"/>
      </patternFill>
    </fill>
    <fill>
      <patternFill patternType="solid">
        <fgColor rgb="FF11821D"/>
        <bgColor indexed="64"/>
      </patternFill>
    </fill>
    <fill>
      <patternFill patternType="solid">
        <fgColor rgb="FF239019"/>
        <bgColor indexed="64"/>
      </patternFill>
    </fill>
    <fill>
      <patternFill patternType="solid">
        <fgColor rgb="FF1E9515"/>
        <bgColor indexed="64"/>
      </patternFill>
    </fill>
    <fill>
      <patternFill patternType="solid">
        <fgColor rgb="FF5F9414"/>
        <bgColor indexed="64"/>
      </patternFill>
    </fill>
    <fill>
      <patternFill patternType="solid">
        <fgColor rgb="FF1E9C14"/>
        <bgColor indexed="64"/>
      </patternFill>
    </fill>
    <fill>
      <patternFill patternType="solid">
        <fgColor rgb="FF638E1B"/>
        <bgColor indexed="64"/>
      </patternFill>
    </fill>
    <fill>
      <patternFill patternType="solid">
        <fgColor rgb="FF029314"/>
        <bgColor indexed="64"/>
      </patternFill>
    </fill>
    <fill>
      <patternFill patternType="solid">
        <fgColor rgb="FF019F17"/>
        <bgColor indexed="64"/>
      </patternFill>
    </fill>
    <fill>
      <patternFill patternType="solid">
        <fgColor rgb="FF259C19"/>
        <bgColor indexed="64"/>
      </patternFill>
    </fill>
    <fill>
      <patternFill patternType="solid">
        <fgColor rgb="FF419A17"/>
        <bgColor indexed="64"/>
      </patternFill>
    </fill>
    <fill>
      <patternFill patternType="solid">
        <fgColor rgb="FF4A9F1B"/>
        <bgColor indexed="64"/>
      </patternFill>
    </fill>
    <fill>
      <patternFill patternType="solid">
        <fgColor rgb="FF4C9E18"/>
        <bgColor indexed="64"/>
      </patternFill>
    </fill>
    <fill>
      <patternFill patternType="solid">
        <fgColor rgb="FF559C18"/>
        <bgColor indexed="64"/>
      </patternFill>
    </fill>
    <fill>
      <patternFill patternType="solid">
        <fgColor rgb="FF0F981D"/>
        <bgColor indexed="64"/>
      </patternFill>
    </fill>
    <fill>
      <patternFill patternType="solid">
        <fgColor rgb="FF188D17"/>
        <bgColor indexed="64"/>
      </patternFill>
    </fill>
    <fill>
      <patternFill patternType="solid">
        <fgColor rgb="FF348D1C"/>
        <bgColor indexed="64"/>
      </patternFill>
    </fill>
    <fill>
      <patternFill patternType="solid">
        <fgColor rgb="FF448419"/>
        <bgColor indexed="64"/>
      </patternFill>
    </fill>
    <fill>
      <patternFill patternType="solid">
        <fgColor rgb="FF099A14"/>
        <bgColor indexed="64"/>
      </patternFill>
    </fill>
    <fill>
      <patternFill patternType="solid">
        <fgColor rgb="FF47931B"/>
        <bgColor indexed="64"/>
      </patternFill>
    </fill>
    <fill>
      <patternFill patternType="solid">
        <fgColor rgb="FF289516"/>
        <bgColor indexed="64"/>
      </patternFill>
    </fill>
    <fill>
      <patternFill patternType="solid">
        <fgColor rgb="FF349614"/>
        <bgColor indexed="64"/>
      </patternFill>
    </fill>
    <fill>
      <patternFill patternType="solid">
        <fgColor rgb="FF13871B"/>
        <bgColor indexed="64"/>
      </patternFill>
    </fill>
    <fill>
      <patternFill patternType="solid">
        <fgColor rgb="FF1B821B"/>
        <bgColor indexed="64"/>
      </patternFill>
    </fill>
    <fill>
      <patternFill patternType="solid">
        <fgColor rgb="FF16931D"/>
        <bgColor indexed="64"/>
      </patternFill>
    </fill>
    <fill>
      <patternFill patternType="solid">
        <fgColor rgb="FF369C18"/>
        <bgColor indexed="64"/>
      </patternFill>
    </fill>
    <fill>
      <patternFill patternType="solid">
        <fgColor rgb="FF019D1A"/>
        <bgColor indexed="64"/>
      </patternFill>
    </fill>
    <fill>
      <patternFill patternType="solid">
        <fgColor rgb="FF3E841D"/>
        <bgColor indexed="64"/>
      </patternFill>
    </fill>
    <fill>
      <patternFill patternType="solid">
        <fgColor rgb="FF2A8714"/>
        <bgColor indexed="64"/>
      </patternFill>
    </fill>
    <fill>
      <patternFill patternType="solid">
        <fgColor rgb="FF2B9C1D"/>
        <bgColor indexed="64"/>
      </patternFill>
    </fill>
    <fill>
      <patternFill patternType="solid">
        <fgColor rgb="FF199C16"/>
        <bgColor indexed="64"/>
      </patternFill>
    </fill>
    <fill>
      <patternFill patternType="solid">
        <fgColor rgb="FF04971C"/>
        <bgColor indexed="64"/>
      </patternFill>
    </fill>
    <fill>
      <patternFill patternType="solid">
        <fgColor rgb="FF389E1D"/>
        <bgColor indexed="64"/>
      </patternFill>
    </fill>
    <fill>
      <patternFill patternType="solid">
        <fgColor rgb="FF4E8515"/>
        <bgColor indexed="64"/>
      </patternFill>
    </fill>
    <fill>
      <patternFill patternType="solid">
        <fgColor rgb="FF3F9415"/>
        <bgColor indexed="64"/>
      </patternFill>
    </fill>
    <fill>
      <patternFill patternType="solid">
        <fgColor rgb="FF33911D"/>
        <bgColor indexed="64"/>
      </patternFill>
    </fill>
    <fill>
      <patternFill patternType="solid">
        <fgColor rgb="FF4B9416"/>
        <bgColor indexed="64"/>
      </patternFill>
    </fill>
    <fill>
      <patternFill patternType="solid">
        <fgColor rgb="FF1F9E19"/>
        <bgColor indexed="64"/>
      </patternFill>
    </fill>
    <fill>
      <patternFill patternType="solid">
        <fgColor rgb="FF549315"/>
        <bgColor indexed="64"/>
      </patternFill>
    </fill>
    <fill>
      <patternFill patternType="solid">
        <fgColor rgb="FF1F951B"/>
        <bgColor indexed="64"/>
      </patternFill>
    </fill>
    <fill>
      <patternFill patternType="solid">
        <fgColor rgb="FF5D9E1D"/>
        <bgColor indexed="64"/>
      </patternFill>
    </fill>
    <fill>
      <patternFill patternType="solid">
        <fgColor rgb="FF429015"/>
        <bgColor indexed="64"/>
      </patternFill>
    </fill>
    <fill>
      <patternFill patternType="solid">
        <fgColor rgb="FF2A9016"/>
        <bgColor indexed="64"/>
      </patternFill>
    </fill>
    <fill>
      <patternFill patternType="solid">
        <fgColor rgb="FF2E9D19"/>
        <bgColor indexed="64"/>
      </patternFill>
    </fill>
    <fill>
      <patternFill patternType="solid">
        <fgColor rgb="FF54831A"/>
        <bgColor indexed="64"/>
      </patternFill>
    </fill>
    <fill>
      <patternFill patternType="solid">
        <fgColor rgb="FF5D9E16"/>
        <bgColor indexed="64"/>
      </patternFill>
    </fill>
    <fill>
      <patternFill patternType="solid">
        <fgColor rgb="FF578717"/>
        <bgColor indexed="64"/>
      </patternFill>
    </fill>
    <fill>
      <patternFill patternType="solid">
        <fgColor rgb="FF3C9F19"/>
        <bgColor indexed="64"/>
      </patternFill>
    </fill>
    <fill>
      <patternFill patternType="solid">
        <fgColor rgb="FF27871C"/>
        <bgColor indexed="64"/>
      </patternFill>
    </fill>
    <fill>
      <patternFill patternType="solid">
        <fgColor rgb="FF5B9C16"/>
        <bgColor indexed="64"/>
      </patternFill>
    </fill>
    <fill>
      <patternFill patternType="solid">
        <fgColor rgb="FF089815"/>
        <bgColor indexed="64"/>
      </patternFill>
    </fill>
    <fill>
      <patternFill patternType="solid">
        <fgColor rgb="FF1F8E1B"/>
        <bgColor indexed="64"/>
      </patternFill>
    </fill>
    <fill>
      <patternFill patternType="solid">
        <fgColor rgb="FF1A9F1D"/>
        <bgColor indexed="64"/>
      </patternFill>
    </fill>
    <fill>
      <patternFill patternType="solid">
        <fgColor rgb="FF429B18"/>
        <bgColor indexed="64"/>
      </patternFill>
    </fill>
    <fill>
      <patternFill patternType="solid">
        <fgColor rgb="FF39891D"/>
        <bgColor indexed="64"/>
      </patternFill>
    </fill>
    <fill>
      <patternFill patternType="solid">
        <fgColor rgb="FF258F17"/>
        <bgColor indexed="64"/>
      </patternFill>
    </fill>
    <fill>
      <patternFill patternType="solid">
        <fgColor rgb="FF059415"/>
        <bgColor indexed="64"/>
      </patternFill>
    </fill>
    <fill>
      <patternFill patternType="solid">
        <fgColor rgb="FF058C16"/>
        <bgColor indexed="64"/>
      </patternFill>
    </fill>
    <fill>
      <patternFill patternType="solid">
        <fgColor rgb="FF2A901A"/>
        <bgColor indexed="64"/>
      </patternFill>
    </fill>
    <fill>
      <patternFill patternType="solid">
        <fgColor rgb="FF599D18"/>
        <bgColor indexed="64"/>
      </patternFill>
    </fill>
    <fill>
      <patternFill patternType="solid">
        <fgColor rgb="FF548516"/>
        <bgColor indexed="64"/>
      </patternFill>
    </fill>
    <fill>
      <patternFill patternType="solid">
        <fgColor rgb="FF479916"/>
        <bgColor indexed="64"/>
      </patternFill>
    </fill>
    <fill>
      <patternFill patternType="solid">
        <fgColor rgb="FF048814"/>
        <bgColor indexed="64"/>
      </patternFill>
    </fill>
    <fill>
      <patternFill patternType="solid">
        <fgColor rgb="FF488B1A"/>
        <bgColor indexed="64"/>
      </patternFill>
    </fill>
    <fill>
      <patternFill patternType="solid">
        <fgColor rgb="FF539718"/>
        <bgColor indexed="64"/>
      </patternFill>
    </fill>
    <fill>
      <patternFill patternType="solid">
        <fgColor rgb="FF5E9A19"/>
        <bgColor indexed="64"/>
      </patternFill>
    </fill>
    <fill>
      <patternFill patternType="solid">
        <fgColor rgb="FF17861D"/>
        <bgColor indexed="64"/>
      </patternFill>
    </fill>
    <fill>
      <patternFill patternType="solid">
        <fgColor rgb="FF4A861C"/>
        <bgColor indexed="64"/>
      </patternFill>
    </fill>
    <fill>
      <patternFill patternType="solid">
        <fgColor rgb="FF3C8E18"/>
        <bgColor indexed="64"/>
      </patternFill>
    </fill>
    <fill>
      <patternFill patternType="solid">
        <fgColor rgb="FF11831C"/>
        <bgColor indexed="64"/>
      </patternFill>
    </fill>
    <fill>
      <patternFill patternType="solid">
        <fgColor rgb="FF5B9014"/>
        <bgColor indexed="64"/>
      </patternFill>
    </fill>
    <fill>
      <patternFill patternType="solid">
        <fgColor rgb="FF608A1A"/>
        <bgColor indexed="64"/>
      </patternFill>
    </fill>
    <fill>
      <patternFill patternType="solid">
        <fgColor rgb="FF289A19"/>
        <bgColor indexed="64"/>
      </patternFill>
    </fill>
    <fill>
      <patternFill patternType="solid">
        <fgColor rgb="FF2E971A"/>
        <bgColor indexed="64"/>
      </patternFill>
    </fill>
    <fill>
      <patternFill patternType="solid">
        <fgColor rgb="FF438E15"/>
        <bgColor indexed="64"/>
      </patternFill>
    </fill>
    <fill>
      <patternFill patternType="solid">
        <fgColor rgb="FF518B18"/>
        <bgColor indexed="64"/>
      </patternFill>
    </fill>
    <fill>
      <patternFill patternType="solid">
        <fgColor rgb="FF419F1C"/>
        <bgColor indexed="64"/>
      </patternFill>
    </fill>
    <fill>
      <patternFill patternType="solid">
        <fgColor rgb="FF399817"/>
        <bgColor indexed="64"/>
      </patternFill>
    </fill>
    <fill>
      <patternFill patternType="solid">
        <fgColor rgb="FF27831B"/>
        <bgColor indexed="64"/>
      </patternFill>
    </fill>
    <fill>
      <patternFill patternType="solid">
        <fgColor rgb="FF2B8315"/>
        <bgColor indexed="64"/>
      </patternFill>
    </fill>
    <fill>
      <patternFill patternType="solid">
        <fgColor rgb="FF549214"/>
        <bgColor indexed="64"/>
      </patternFill>
    </fill>
    <fill>
      <patternFill patternType="solid">
        <fgColor rgb="FF0D9515"/>
        <bgColor indexed="64"/>
      </patternFill>
    </fill>
    <fill>
      <patternFill patternType="solid">
        <fgColor rgb="FF3F9016"/>
        <bgColor indexed="64"/>
      </patternFill>
    </fill>
    <fill>
      <patternFill patternType="solid">
        <fgColor rgb="FF5D9F17"/>
        <bgColor indexed="64"/>
      </patternFill>
    </fill>
    <fill>
      <patternFill patternType="solid">
        <fgColor rgb="FF1B8A18"/>
        <bgColor indexed="64"/>
      </patternFill>
    </fill>
    <fill>
      <patternFill patternType="solid">
        <fgColor rgb="FF41931A"/>
        <bgColor indexed="64"/>
      </patternFill>
    </fill>
    <fill>
      <patternFill patternType="solid">
        <fgColor rgb="FF0A8317"/>
        <bgColor indexed="64"/>
      </patternFill>
    </fill>
    <fill>
      <patternFill patternType="solid">
        <fgColor rgb="FF4A9619"/>
        <bgColor indexed="64"/>
      </patternFill>
    </fill>
    <fill>
      <patternFill patternType="solid">
        <fgColor rgb="FF059915"/>
        <bgColor indexed="64"/>
      </patternFill>
    </fill>
    <fill>
      <patternFill patternType="solid">
        <fgColor rgb="FF048B17"/>
        <bgColor indexed="64"/>
      </patternFill>
    </fill>
    <fill>
      <patternFill patternType="solid">
        <fgColor rgb="FF1A8C16"/>
        <bgColor indexed="64"/>
      </patternFill>
    </fill>
    <fill>
      <patternFill patternType="solid">
        <fgColor rgb="FF208418"/>
        <bgColor indexed="64"/>
      </patternFill>
    </fill>
    <fill>
      <patternFill patternType="solid">
        <fgColor rgb="FF159218"/>
        <bgColor indexed="64"/>
      </patternFill>
    </fill>
    <fill>
      <patternFill patternType="solid">
        <fgColor rgb="FF499718"/>
        <bgColor indexed="64"/>
      </patternFill>
    </fill>
    <fill>
      <patternFill patternType="solid">
        <fgColor rgb="FF31881B"/>
        <bgColor indexed="64"/>
      </patternFill>
    </fill>
    <fill>
      <patternFill patternType="solid">
        <fgColor rgb="FF19991B"/>
        <bgColor indexed="64"/>
      </patternFill>
    </fill>
    <fill>
      <patternFill patternType="solid">
        <fgColor rgb="FF0D8C14"/>
        <bgColor indexed="64"/>
      </patternFill>
    </fill>
    <fill>
      <patternFill patternType="solid">
        <fgColor rgb="FF1C9F15"/>
        <bgColor indexed="64"/>
      </patternFill>
    </fill>
    <fill>
      <patternFill patternType="solid">
        <fgColor rgb="FF068C17"/>
        <bgColor indexed="64"/>
      </patternFill>
    </fill>
    <fill>
      <patternFill patternType="solid">
        <fgColor rgb="FF4D8514"/>
        <bgColor indexed="64"/>
      </patternFill>
    </fill>
    <fill>
      <patternFill patternType="solid">
        <fgColor rgb="FF0E861C"/>
        <bgColor indexed="64"/>
      </patternFill>
    </fill>
    <fill>
      <patternFill patternType="solid">
        <fgColor rgb="FF4B9617"/>
        <bgColor indexed="64"/>
      </patternFill>
    </fill>
    <fill>
      <patternFill patternType="solid">
        <fgColor rgb="FF088319"/>
        <bgColor indexed="64"/>
      </patternFill>
    </fill>
    <fill>
      <patternFill patternType="solid">
        <fgColor rgb="FF61851A"/>
        <bgColor indexed="64"/>
      </patternFill>
    </fill>
    <fill>
      <patternFill patternType="solid">
        <fgColor rgb="FF04991B"/>
        <bgColor indexed="64"/>
      </patternFill>
    </fill>
    <fill>
      <patternFill patternType="solid">
        <fgColor rgb="FF309D15"/>
        <bgColor indexed="64"/>
      </patternFill>
    </fill>
    <fill>
      <patternFill patternType="solid">
        <fgColor rgb="FF0F8F15"/>
        <bgColor indexed="64"/>
      </patternFill>
    </fill>
    <fill>
      <patternFill patternType="solid">
        <fgColor rgb="FF179414"/>
        <bgColor indexed="64"/>
      </patternFill>
    </fill>
    <fill>
      <patternFill patternType="solid">
        <fgColor rgb="FF369517"/>
        <bgColor indexed="64"/>
      </patternFill>
    </fill>
    <fill>
      <patternFill patternType="solid">
        <fgColor rgb="FF56961D"/>
        <bgColor indexed="64"/>
      </patternFill>
    </fill>
    <fill>
      <patternFill patternType="solid">
        <fgColor rgb="FF148319"/>
        <bgColor indexed="64"/>
      </patternFill>
    </fill>
    <fill>
      <patternFill patternType="solid">
        <fgColor rgb="FF049D18"/>
        <bgColor indexed="64"/>
      </patternFill>
    </fill>
    <fill>
      <patternFill patternType="solid">
        <fgColor rgb="FF1B911A"/>
        <bgColor indexed="64"/>
      </patternFill>
    </fill>
    <fill>
      <patternFill patternType="solid">
        <fgColor rgb="FF278D16"/>
        <bgColor indexed="64"/>
      </patternFill>
    </fill>
    <fill>
      <patternFill patternType="solid">
        <fgColor rgb="FF12861D"/>
        <bgColor indexed="64"/>
      </patternFill>
    </fill>
    <fill>
      <patternFill patternType="solid">
        <fgColor rgb="FF549115"/>
        <bgColor indexed="64"/>
      </patternFill>
    </fill>
    <fill>
      <patternFill patternType="solid">
        <fgColor rgb="FF409516"/>
        <bgColor indexed="64"/>
      </patternFill>
    </fill>
    <fill>
      <patternFill patternType="solid">
        <fgColor rgb="FF5D9D17"/>
        <bgColor indexed="64"/>
      </patternFill>
    </fill>
    <fill>
      <patternFill patternType="solid">
        <fgColor rgb="FF4E8915"/>
        <bgColor indexed="64"/>
      </patternFill>
    </fill>
    <fill>
      <patternFill patternType="solid">
        <fgColor rgb="FF24961C"/>
        <bgColor indexed="64"/>
      </patternFill>
    </fill>
    <fill>
      <patternFill patternType="solid">
        <fgColor rgb="FF598F1B"/>
        <bgColor indexed="64"/>
      </patternFill>
    </fill>
    <fill>
      <patternFill patternType="solid">
        <fgColor rgb="FF1F9318"/>
        <bgColor indexed="64"/>
      </patternFill>
    </fill>
    <fill>
      <patternFill patternType="solid">
        <fgColor rgb="FF468E19"/>
        <bgColor indexed="64"/>
      </patternFill>
    </fill>
    <fill>
      <patternFill patternType="solid">
        <fgColor rgb="FF588C1D"/>
        <bgColor indexed="64"/>
      </patternFill>
    </fill>
    <fill>
      <patternFill patternType="solid">
        <fgColor rgb="FF329218"/>
        <bgColor indexed="64"/>
      </patternFill>
    </fill>
    <fill>
      <patternFill patternType="solid">
        <fgColor rgb="FF5E8C1D"/>
        <bgColor indexed="64"/>
      </patternFill>
    </fill>
    <fill>
      <patternFill patternType="solid">
        <fgColor rgb="FF408519"/>
        <bgColor indexed="64"/>
      </patternFill>
    </fill>
    <fill>
      <patternFill patternType="solid">
        <fgColor rgb="FF199F1A"/>
        <bgColor indexed="64"/>
      </patternFill>
    </fill>
    <fill>
      <patternFill patternType="solid">
        <fgColor rgb="FF0A881B"/>
        <bgColor indexed="64"/>
      </patternFill>
    </fill>
    <fill>
      <patternFill patternType="solid">
        <fgColor rgb="FF20881A"/>
        <bgColor indexed="64"/>
      </patternFill>
    </fill>
    <fill>
      <patternFill patternType="solid">
        <fgColor rgb="FF3F8E18"/>
        <bgColor indexed="64"/>
      </patternFill>
    </fill>
    <fill>
      <patternFill patternType="solid">
        <fgColor rgb="FF089F1B"/>
        <bgColor indexed="64"/>
      </patternFill>
    </fill>
    <fill>
      <patternFill patternType="solid">
        <fgColor rgb="FF2A8415"/>
        <bgColor indexed="64"/>
      </patternFill>
    </fill>
    <fill>
      <patternFill patternType="solid">
        <fgColor rgb="FF159C19"/>
        <bgColor indexed="64"/>
      </patternFill>
    </fill>
    <fill>
      <patternFill patternType="solid">
        <fgColor rgb="FF178518"/>
        <bgColor indexed="64"/>
      </patternFill>
    </fill>
    <fill>
      <patternFill patternType="solid">
        <fgColor rgb="FF099414"/>
        <bgColor indexed="64"/>
      </patternFill>
    </fill>
    <fill>
      <patternFill patternType="solid">
        <fgColor rgb="FF189C15"/>
        <bgColor indexed="64"/>
      </patternFill>
    </fill>
    <fill>
      <patternFill patternType="solid">
        <fgColor rgb="FF4B9A18"/>
        <bgColor indexed="64"/>
      </patternFill>
    </fill>
    <fill>
      <patternFill patternType="solid">
        <fgColor rgb="FF4A8718"/>
        <bgColor indexed="64"/>
      </patternFill>
    </fill>
    <fill>
      <patternFill patternType="solid">
        <fgColor rgb="FF1D8F16"/>
        <bgColor indexed="64"/>
      </patternFill>
    </fill>
    <fill>
      <patternFill patternType="solid">
        <fgColor rgb="FF2D9D16"/>
        <bgColor indexed="64"/>
      </patternFill>
    </fill>
    <fill>
      <patternFill patternType="solid">
        <fgColor rgb="FF358A18"/>
        <bgColor indexed="64"/>
      </patternFill>
    </fill>
    <fill>
      <patternFill patternType="solid">
        <fgColor rgb="FF278E1A"/>
        <bgColor indexed="64"/>
      </patternFill>
    </fill>
    <fill>
      <patternFill patternType="solid">
        <fgColor rgb="FF0D8D19"/>
        <bgColor indexed="64"/>
      </patternFill>
    </fill>
    <fill>
      <patternFill patternType="solid">
        <fgColor rgb="FF41841A"/>
        <bgColor indexed="64"/>
      </patternFill>
    </fill>
    <fill>
      <patternFill patternType="solid">
        <fgColor rgb="FF0B8514"/>
        <bgColor indexed="64"/>
      </patternFill>
    </fill>
    <fill>
      <patternFill patternType="solid">
        <fgColor rgb="FF218417"/>
        <bgColor indexed="64"/>
      </patternFill>
    </fill>
    <fill>
      <patternFill patternType="solid">
        <fgColor rgb="FF489B1D"/>
        <bgColor indexed="64"/>
      </patternFill>
    </fill>
    <fill>
      <patternFill patternType="solid">
        <fgColor rgb="FF258614"/>
        <bgColor indexed="64"/>
      </patternFill>
    </fill>
    <fill>
      <patternFill patternType="solid">
        <fgColor rgb="FF468218"/>
        <bgColor indexed="64"/>
      </patternFill>
    </fill>
    <fill>
      <patternFill patternType="solid">
        <fgColor rgb="FF348E19"/>
        <bgColor indexed="64"/>
      </patternFill>
    </fill>
    <fill>
      <patternFill patternType="solid">
        <fgColor rgb="FF29921D"/>
        <bgColor indexed="64"/>
      </patternFill>
    </fill>
    <fill>
      <patternFill patternType="solid">
        <fgColor rgb="FF598A16"/>
        <bgColor indexed="64"/>
      </patternFill>
    </fill>
    <fill>
      <patternFill patternType="solid">
        <fgColor rgb="FF608817"/>
        <bgColor indexed="64"/>
      </patternFill>
    </fill>
    <fill>
      <patternFill patternType="solid">
        <fgColor rgb="FF1F921C"/>
        <bgColor indexed="64"/>
      </patternFill>
    </fill>
    <fill>
      <patternFill patternType="solid">
        <fgColor rgb="FF0D8216"/>
        <bgColor indexed="64"/>
      </patternFill>
    </fill>
    <fill>
      <patternFill patternType="solid">
        <fgColor rgb="FF27881C"/>
        <bgColor indexed="64"/>
      </patternFill>
    </fill>
    <fill>
      <patternFill patternType="solid">
        <fgColor rgb="FF588B15"/>
        <bgColor indexed="64"/>
      </patternFill>
    </fill>
    <fill>
      <patternFill patternType="solid">
        <fgColor rgb="FF008C17"/>
        <bgColor indexed="64"/>
      </patternFill>
    </fill>
    <fill>
      <patternFill patternType="solid">
        <fgColor rgb="FF0A981D"/>
        <bgColor indexed="64"/>
      </patternFill>
    </fill>
    <fill>
      <patternFill patternType="solid">
        <fgColor rgb="FF43951D"/>
        <bgColor indexed="64"/>
      </patternFill>
    </fill>
    <fill>
      <patternFill patternType="solid">
        <fgColor rgb="FF3E9218"/>
        <bgColor indexed="64"/>
      </patternFill>
    </fill>
    <fill>
      <patternFill patternType="solid">
        <fgColor rgb="FF48841B"/>
        <bgColor indexed="64"/>
      </patternFill>
    </fill>
    <fill>
      <patternFill patternType="solid">
        <fgColor rgb="FF12921B"/>
        <bgColor indexed="64"/>
      </patternFill>
    </fill>
    <fill>
      <patternFill patternType="solid">
        <fgColor rgb="FF61901D"/>
        <bgColor indexed="64"/>
      </patternFill>
    </fill>
    <fill>
      <patternFill patternType="solid">
        <fgColor rgb="FF539F1A"/>
        <bgColor indexed="64"/>
      </patternFill>
    </fill>
    <fill>
      <patternFill patternType="solid">
        <fgColor rgb="FF2F8E1C"/>
        <bgColor indexed="64"/>
      </patternFill>
    </fill>
    <fill>
      <patternFill patternType="solid">
        <fgColor rgb="FF2D9A17"/>
        <bgColor indexed="64"/>
      </patternFill>
    </fill>
    <fill>
      <patternFill patternType="solid">
        <fgColor rgb="FF03961D"/>
        <bgColor indexed="64"/>
      </patternFill>
    </fill>
    <fill>
      <patternFill patternType="solid">
        <fgColor rgb="FF029E18"/>
        <bgColor indexed="64"/>
      </patternFill>
    </fill>
    <fill>
      <patternFill patternType="solid">
        <fgColor rgb="FF638B17"/>
        <bgColor indexed="64"/>
      </patternFill>
    </fill>
    <fill>
      <patternFill patternType="solid">
        <fgColor rgb="FF459B1B"/>
        <bgColor indexed="64"/>
      </patternFill>
    </fill>
    <fill>
      <patternFill patternType="solid">
        <fgColor rgb="FF04831D"/>
        <bgColor indexed="64"/>
      </patternFill>
    </fill>
    <fill>
      <patternFill patternType="solid">
        <fgColor rgb="FF638818"/>
        <bgColor indexed="64"/>
      </patternFill>
    </fill>
    <fill>
      <patternFill patternType="solid">
        <fgColor rgb="FF25861A"/>
        <bgColor indexed="64"/>
      </patternFill>
    </fill>
    <fill>
      <patternFill patternType="solid">
        <fgColor rgb="FF409C15"/>
        <bgColor indexed="64"/>
      </patternFill>
    </fill>
    <fill>
      <patternFill patternType="solid">
        <fgColor rgb="FF508917"/>
        <bgColor indexed="64"/>
      </patternFill>
    </fill>
    <fill>
      <patternFill patternType="solid">
        <fgColor rgb="FF3E921A"/>
        <bgColor indexed="64"/>
      </patternFill>
    </fill>
    <fill>
      <patternFill patternType="solid">
        <fgColor rgb="FF39871B"/>
        <bgColor indexed="64"/>
      </patternFill>
    </fill>
    <fill>
      <patternFill patternType="solid">
        <fgColor rgb="FF3A8F1C"/>
        <bgColor indexed="64"/>
      </patternFill>
    </fill>
    <fill>
      <patternFill patternType="solid">
        <fgColor rgb="FF609018"/>
        <bgColor indexed="64"/>
      </patternFill>
    </fill>
    <fill>
      <patternFill patternType="solid">
        <fgColor rgb="FF469315"/>
        <bgColor indexed="64"/>
      </patternFill>
    </fill>
    <fill>
      <patternFill patternType="solid">
        <fgColor rgb="FF13941B"/>
        <bgColor indexed="64"/>
      </patternFill>
    </fill>
    <fill>
      <patternFill patternType="solid">
        <fgColor rgb="FF0F971B"/>
        <bgColor indexed="64"/>
      </patternFill>
    </fill>
    <fill>
      <patternFill patternType="solid">
        <fgColor rgb="FF0C8D18"/>
        <bgColor indexed="64"/>
      </patternFill>
    </fill>
    <fill>
      <patternFill patternType="solid">
        <fgColor rgb="FF449617"/>
        <bgColor indexed="64"/>
      </patternFill>
    </fill>
    <fill>
      <patternFill patternType="solid">
        <fgColor rgb="FF438B1A"/>
        <bgColor indexed="64"/>
      </patternFill>
    </fill>
    <fill>
      <patternFill patternType="solid">
        <fgColor rgb="FF1D8615"/>
        <bgColor indexed="64"/>
      </patternFill>
    </fill>
    <fill>
      <patternFill patternType="solid">
        <fgColor rgb="FF058C15"/>
        <bgColor indexed="64"/>
      </patternFill>
    </fill>
    <fill>
      <patternFill patternType="solid">
        <fgColor rgb="FF5B901C"/>
        <bgColor indexed="64"/>
      </patternFill>
    </fill>
    <fill>
      <patternFill patternType="solid">
        <fgColor rgb="FF49911C"/>
        <bgColor indexed="64"/>
      </patternFill>
    </fill>
    <fill>
      <patternFill patternType="solid">
        <fgColor rgb="FF039E1A"/>
        <bgColor indexed="64"/>
      </patternFill>
    </fill>
    <fill>
      <patternFill patternType="solid">
        <fgColor rgb="FF009714"/>
        <bgColor indexed="64"/>
      </patternFill>
    </fill>
    <fill>
      <patternFill patternType="solid">
        <fgColor rgb="FF268915"/>
        <bgColor indexed="64"/>
      </patternFill>
    </fill>
    <fill>
      <patternFill patternType="solid">
        <fgColor rgb="FF36831D"/>
        <bgColor indexed="64"/>
      </patternFill>
    </fill>
    <fill>
      <patternFill patternType="solid">
        <fgColor rgb="FF029C1D"/>
        <bgColor indexed="64"/>
      </patternFill>
    </fill>
    <fill>
      <patternFill patternType="solid">
        <fgColor rgb="FF168815"/>
        <bgColor indexed="64"/>
      </patternFill>
    </fill>
    <fill>
      <patternFill patternType="solid">
        <fgColor rgb="FF149119"/>
        <bgColor indexed="64"/>
      </patternFill>
    </fill>
    <fill>
      <patternFill patternType="solid">
        <fgColor rgb="FF0E9D1A"/>
        <bgColor indexed="64"/>
      </patternFill>
    </fill>
    <fill>
      <patternFill patternType="solid">
        <fgColor rgb="FF188B1A"/>
        <bgColor indexed="64"/>
      </patternFill>
    </fill>
    <fill>
      <patternFill patternType="solid">
        <fgColor rgb="FF138B1B"/>
        <bgColor indexed="64"/>
      </patternFill>
    </fill>
    <fill>
      <patternFill patternType="solid">
        <fgColor rgb="FF3C8B1B"/>
        <bgColor indexed="64"/>
      </patternFill>
    </fill>
    <fill>
      <patternFill patternType="solid">
        <fgColor rgb="FF158D14"/>
        <bgColor indexed="64"/>
      </patternFill>
    </fill>
    <fill>
      <patternFill patternType="solid">
        <fgColor rgb="FF22921A"/>
        <bgColor indexed="64"/>
      </patternFill>
    </fill>
    <fill>
      <patternFill patternType="solid">
        <fgColor rgb="FF2D8A18"/>
        <bgColor indexed="64"/>
      </patternFill>
    </fill>
    <fill>
      <patternFill patternType="solid">
        <fgColor rgb="FF2C8919"/>
        <bgColor indexed="64"/>
      </patternFill>
    </fill>
    <fill>
      <patternFill patternType="solid">
        <fgColor rgb="FF129517"/>
        <bgColor indexed="64"/>
      </patternFill>
    </fill>
    <fill>
      <patternFill patternType="solid">
        <fgColor rgb="FF379818"/>
        <bgColor indexed="64"/>
      </patternFill>
    </fill>
    <fill>
      <patternFill patternType="solid">
        <fgColor rgb="FF389819"/>
        <bgColor indexed="64"/>
      </patternFill>
    </fill>
    <fill>
      <patternFill patternType="solid">
        <fgColor rgb="FF5C9716"/>
        <bgColor indexed="64"/>
      </patternFill>
    </fill>
    <fill>
      <patternFill patternType="solid">
        <fgColor rgb="FF2E851B"/>
        <bgColor indexed="64"/>
      </patternFill>
    </fill>
    <fill>
      <patternFill patternType="solid">
        <fgColor rgb="FF589B1D"/>
        <bgColor indexed="64"/>
      </patternFill>
    </fill>
    <fill>
      <patternFill patternType="solid">
        <fgColor rgb="FF279C19"/>
        <bgColor indexed="64"/>
      </patternFill>
    </fill>
    <fill>
      <patternFill patternType="solid">
        <fgColor rgb="FF378F1C"/>
        <bgColor indexed="64"/>
      </patternFill>
    </fill>
    <fill>
      <patternFill patternType="solid">
        <fgColor rgb="FF348A1B"/>
        <bgColor indexed="64"/>
      </patternFill>
    </fill>
    <fill>
      <patternFill patternType="solid">
        <fgColor rgb="FF5C9215"/>
        <bgColor indexed="64"/>
      </patternFill>
    </fill>
    <fill>
      <patternFill patternType="solid">
        <fgColor rgb="FF199E1D"/>
        <bgColor indexed="64"/>
      </patternFill>
    </fill>
    <fill>
      <patternFill patternType="solid">
        <fgColor rgb="FF5B9F1B"/>
        <bgColor indexed="64"/>
      </patternFill>
    </fill>
    <fill>
      <patternFill patternType="solid">
        <fgColor rgb="FF208719"/>
        <bgColor indexed="64"/>
      </patternFill>
    </fill>
  </fills>
  <borders count="38">
    <border>
      <left/>
      <right/>
      <top/>
      <bottom/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/>
      <right/>
      <top style="thin">
        <color rgb="FF787878"/>
      </top>
      <bottom/>
      <diagonal/>
    </border>
    <border>
      <left/>
      <right/>
      <top style="thin">
        <color rgb="FF787878"/>
      </top>
      <bottom style="thin">
        <color rgb="FF787878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/>
      <right style="thin">
        <color rgb="FF787878"/>
      </right>
      <top/>
      <bottom/>
      <diagonal/>
    </border>
    <border>
      <left/>
      <right style="thin">
        <color rgb="FF787878"/>
      </right>
      <top style="thin">
        <color rgb="FF787878"/>
      </top>
      <bottom/>
      <diagonal/>
    </border>
    <border>
      <left style="thin">
        <color rgb="FF787878"/>
      </left>
      <right style="thin">
        <color rgb="FF787878"/>
      </right>
      <top/>
      <bottom/>
      <diagonal/>
    </border>
    <border>
      <left style="thin">
        <color rgb="FF787878"/>
      </left>
      <right/>
      <top/>
      <bottom style="thin">
        <color rgb="FF787878"/>
      </bottom>
      <diagonal/>
    </border>
    <border>
      <left/>
      <right/>
      <top/>
      <bottom style="thin">
        <color rgb="FF787878"/>
      </bottom>
      <diagonal/>
    </border>
    <border>
      <left/>
      <right style="thin">
        <color rgb="FF787878"/>
      </right>
      <top/>
      <bottom style="thin">
        <color rgb="FF787878"/>
      </bottom>
      <diagonal/>
    </border>
    <border>
      <left/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E68900"/>
      </left>
      <right/>
      <top style="medium">
        <color rgb="FFE68900"/>
      </top>
      <bottom style="medium">
        <color rgb="FFE68900"/>
      </bottom>
      <diagonal/>
    </border>
    <border>
      <left/>
      <right/>
      <top style="medium">
        <color rgb="FFE68900"/>
      </top>
      <bottom style="medium">
        <color rgb="FFE68900"/>
      </bottom>
      <diagonal/>
    </border>
    <border>
      <left/>
      <right style="medium">
        <color rgb="FFE68900"/>
      </right>
      <top style="medium">
        <color rgb="FFE68900"/>
      </top>
      <bottom style="medium">
        <color rgb="FFE68900"/>
      </bottom>
      <diagonal/>
    </border>
    <border>
      <left style="medium">
        <color rgb="FF960000"/>
      </left>
      <right/>
      <top style="medium">
        <color rgb="FF960000"/>
      </top>
      <bottom style="medium">
        <color rgb="FF960000"/>
      </bottom>
      <diagonal/>
    </border>
    <border>
      <left/>
      <right/>
      <top style="medium">
        <color rgb="FF960000"/>
      </top>
      <bottom style="medium">
        <color rgb="FF960000"/>
      </bottom>
      <diagonal/>
    </border>
    <border>
      <left/>
      <right style="medium">
        <color rgb="FF960000"/>
      </right>
      <top style="medium">
        <color rgb="FF960000"/>
      </top>
      <bottom style="medium">
        <color rgb="FF960000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medium">
        <color rgb="FF960000"/>
      </top>
      <bottom style="thin">
        <color rgb="FF787878"/>
      </bottom>
      <diagonal/>
    </border>
    <border>
      <left/>
      <right/>
      <top style="medium">
        <color rgb="FFE68900"/>
      </top>
      <bottom style="thin">
        <color rgb="FF787878"/>
      </bottom>
      <diagonal/>
    </border>
    <border>
      <left/>
      <right/>
      <top/>
      <bottom style="medium">
        <color rgb="FFE68900"/>
      </bottom>
      <diagonal/>
    </border>
    <border>
      <left/>
      <right/>
      <top style="medium">
        <color rgb="FF787878"/>
      </top>
      <bottom style="medium">
        <color rgb="FF960000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</borders>
  <cellStyleXfs count="1">
    <xf numFmtId="0" fontId="0" fillId="0" borderId="0"/>
  </cellStyleXfs>
  <cellXfs count="551">
    <xf numFmtId="0" fontId="0" fillId="0" borderId="0" xfId="0"/>
    <xf numFmtId="0" fontId="0" fillId="0" borderId="0" xfId="0" quotePrefix="1"/>
    <xf numFmtId="0" fontId="0" fillId="0" borderId="0" xfId="0" applyBorder="1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5" borderId="0" xfId="0" quotePrefix="1" applyFill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4" fillId="5" borderId="0" xfId="0" quotePrefix="1" applyFont="1" applyFill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Fill="1" applyBorder="1"/>
    <xf numFmtId="0" fontId="17" fillId="5" borderId="0" xfId="0" applyFont="1" applyFill="1" applyAlignment="1">
      <alignment horizontal="left" vertical="center"/>
    </xf>
    <xf numFmtId="0" fontId="18" fillId="5" borderId="0" xfId="0" applyFont="1" applyFill="1" applyAlignment="1">
      <alignment horizontal="right" vertical="center"/>
    </xf>
    <xf numFmtId="0" fontId="1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right" wrapText="1"/>
    </xf>
    <xf numFmtId="0" fontId="16" fillId="0" borderId="0" xfId="0" applyFont="1" applyAlignment="1">
      <alignment horizontal="left"/>
    </xf>
    <xf numFmtId="0" fontId="16" fillId="0" borderId="0" xfId="0" quotePrefix="1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0" quotePrefix="1" applyFont="1" applyAlignment="1">
      <alignment horizontal="center"/>
    </xf>
    <xf numFmtId="0" fontId="16" fillId="0" borderId="2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9" fillId="5" borderId="0" xfId="0" applyFont="1" applyFill="1" applyAlignment="1">
      <alignment horizontal="center" vertical="center" shrinkToFit="1"/>
    </xf>
    <xf numFmtId="0" fontId="0" fillId="0" borderId="22" xfId="0" quotePrefix="1" applyBorder="1" applyAlignment="1">
      <alignment horizontal="center"/>
    </xf>
    <xf numFmtId="0" fontId="0" fillId="5" borderId="26" xfId="0" applyFill="1" applyBorder="1" applyAlignment="1">
      <alignment vertical="center"/>
    </xf>
    <xf numFmtId="0" fontId="1" fillId="5" borderId="27" xfId="0" applyFont="1" applyFill="1" applyBorder="1" applyAlignment="1">
      <alignment vertical="center"/>
    </xf>
    <xf numFmtId="0" fontId="20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19" fillId="5" borderId="0" xfId="0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0" fontId="19" fillId="5" borderId="6" xfId="0" applyFont="1" applyFill="1" applyBorder="1" applyAlignment="1">
      <alignment horizontal="center" vertical="center"/>
    </xf>
    <xf numFmtId="164" fontId="1" fillId="5" borderId="0" xfId="0" applyNumberFormat="1" applyFont="1" applyFill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164" fontId="17" fillId="5" borderId="0" xfId="0" applyNumberFormat="1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0" borderId="22" xfId="0" applyBorder="1"/>
    <xf numFmtId="0" fontId="16" fillId="0" borderId="22" xfId="0" applyFont="1" applyBorder="1" applyAlignment="1">
      <alignment horizontal="left"/>
    </xf>
    <xf numFmtId="0" fontId="16" fillId="0" borderId="0" xfId="0" applyFont="1" applyAlignment="1">
      <alignment horizontal="right"/>
    </xf>
    <xf numFmtId="0" fontId="16" fillId="0" borderId="0" xfId="0" applyFont="1" applyBorder="1" applyAlignment="1">
      <alignment horizontal="center"/>
    </xf>
    <xf numFmtId="49" fontId="0" fillId="0" borderId="0" xfId="0" applyNumberFormat="1" applyAlignment="1"/>
    <xf numFmtId="0" fontId="0" fillId="4" borderId="0" xfId="0" applyFill="1" applyAlignment="1"/>
    <xf numFmtId="0" fontId="0" fillId="0" borderId="0" xfId="0" applyAlignment="1"/>
    <xf numFmtId="0" fontId="0" fillId="0" borderId="15" xfId="0" applyBorder="1" applyAlignment="1"/>
    <xf numFmtId="0" fontId="0" fillId="0" borderId="0" xfId="0" applyFill="1" applyBorder="1" applyAlignment="1"/>
    <xf numFmtId="0" fontId="0" fillId="0" borderId="0" xfId="0" quotePrefix="1" applyFill="1" applyBorder="1" applyAlignment="1"/>
    <xf numFmtId="0" fontId="25" fillId="0" borderId="0" xfId="0" applyFont="1" applyAlignment="1"/>
    <xf numFmtId="164" fontId="1" fillId="5" borderId="0" xfId="0" applyNumberFormat="1" applyFont="1" applyFill="1" applyBorder="1" applyAlignment="1">
      <alignment vertical="center"/>
    </xf>
    <xf numFmtId="0" fontId="17" fillId="5" borderId="0" xfId="0" applyFont="1" applyFill="1" applyBorder="1" applyAlignment="1">
      <alignment vertical="center" textRotation="255"/>
    </xf>
    <xf numFmtId="0" fontId="26" fillId="3" borderId="0" xfId="0" applyFont="1" applyFill="1" applyAlignment="1">
      <alignment horizontal="center" vertical="center"/>
    </xf>
    <xf numFmtId="49" fontId="0" fillId="0" borderId="0" xfId="0" applyNumberFormat="1" applyAlignment="1">
      <alignment wrapText="1"/>
    </xf>
    <xf numFmtId="49" fontId="0" fillId="0" borderId="25" xfId="0" quotePrefix="1" applyNumberFormat="1" applyBorder="1" applyAlignment="1">
      <alignment horizontal="center"/>
    </xf>
    <xf numFmtId="0" fontId="0" fillId="2" borderId="32" xfId="0" applyFill="1" applyBorder="1"/>
    <xf numFmtId="0" fontId="0" fillId="2" borderId="33" xfId="0" applyFill="1" applyBorder="1"/>
    <xf numFmtId="0" fontId="0" fillId="2" borderId="0" xfId="0" applyFill="1"/>
    <xf numFmtId="0" fontId="0" fillId="2" borderId="34" xfId="0" applyFill="1" applyBorder="1"/>
    <xf numFmtId="0" fontId="0" fillId="2" borderId="36" xfId="0" applyFill="1" applyBorder="1"/>
    <xf numFmtId="0" fontId="0" fillId="2" borderId="14" xfId="0" applyFill="1" applyBorder="1" applyAlignment="1">
      <alignment horizontal="center" vertical="center"/>
    </xf>
    <xf numFmtId="0" fontId="7" fillId="2" borderId="30" xfId="0" applyFont="1" applyFill="1" applyBorder="1" applyAlignment="1">
      <alignment vertical="center"/>
    </xf>
    <xf numFmtId="0" fontId="7" fillId="2" borderId="32" xfId="0" applyFont="1" applyFill="1" applyBorder="1" applyAlignment="1">
      <alignment vertical="center"/>
    </xf>
    <xf numFmtId="0" fontId="7" fillId="2" borderId="31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2" fillId="25" borderId="0" xfId="0" applyFont="1" applyFill="1" applyAlignment="1">
      <alignment horizontal="center" vertical="center"/>
    </xf>
    <xf numFmtId="0" fontId="2" fillId="26" borderId="0" xfId="0" applyFont="1" applyFill="1" applyAlignment="1">
      <alignment horizontal="center" vertical="center"/>
    </xf>
    <xf numFmtId="0" fontId="2" fillId="27" borderId="0" xfId="0" applyFont="1" applyFill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0" fontId="2" fillId="31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2" fillId="36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 vertical="center"/>
    </xf>
    <xf numFmtId="0" fontId="2" fillId="38" borderId="0" xfId="0" applyFont="1" applyFill="1" applyAlignment="1">
      <alignment horizontal="center" vertical="center"/>
    </xf>
    <xf numFmtId="0" fontId="2" fillId="39" borderId="0" xfId="0" applyFont="1" applyFill="1" applyAlignment="1">
      <alignment horizontal="center" vertical="center"/>
    </xf>
    <xf numFmtId="0" fontId="2" fillId="40" borderId="0" xfId="0" applyFont="1" applyFill="1" applyAlignment="1">
      <alignment horizontal="center" vertical="center"/>
    </xf>
    <xf numFmtId="0" fontId="2" fillId="41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 vertical="center"/>
    </xf>
    <xf numFmtId="0" fontId="2" fillId="43" borderId="0" xfId="0" applyFont="1" applyFill="1" applyAlignment="1">
      <alignment horizontal="center" vertical="center"/>
    </xf>
    <xf numFmtId="0" fontId="2" fillId="44" borderId="0" xfId="0" applyFont="1" applyFill="1" applyAlignment="1">
      <alignment horizontal="center" vertical="center"/>
    </xf>
    <xf numFmtId="0" fontId="2" fillId="45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 vertical="center"/>
    </xf>
    <xf numFmtId="0" fontId="2" fillId="47" borderId="0" xfId="0" applyFont="1" applyFill="1" applyAlignment="1">
      <alignment horizontal="center" vertical="center"/>
    </xf>
    <xf numFmtId="0" fontId="2" fillId="48" borderId="0" xfId="0" applyFont="1" applyFill="1" applyAlignment="1">
      <alignment horizontal="center" vertical="center"/>
    </xf>
    <xf numFmtId="0" fontId="2" fillId="49" borderId="0" xfId="0" applyFont="1" applyFill="1" applyAlignment="1">
      <alignment horizontal="center" vertical="center"/>
    </xf>
    <xf numFmtId="0" fontId="2" fillId="50" borderId="0" xfId="0" applyFont="1" applyFill="1" applyAlignment="1">
      <alignment horizontal="center" vertical="center"/>
    </xf>
    <xf numFmtId="0" fontId="2" fillId="51" borderId="0" xfId="0" applyFont="1" applyFill="1" applyAlignment="1">
      <alignment horizontal="center" vertical="center"/>
    </xf>
    <xf numFmtId="0" fontId="2" fillId="52" borderId="0" xfId="0" applyFont="1" applyFill="1" applyAlignment="1">
      <alignment horizontal="center" vertical="center"/>
    </xf>
    <xf numFmtId="0" fontId="2" fillId="53" borderId="0" xfId="0" applyFont="1" applyFill="1" applyAlignment="1">
      <alignment horizontal="center" vertical="center"/>
    </xf>
    <xf numFmtId="0" fontId="2" fillId="54" borderId="0" xfId="0" applyFont="1" applyFill="1" applyAlignment="1">
      <alignment horizontal="center" vertical="center"/>
    </xf>
    <xf numFmtId="0" fontId="2" fillId="55" borderId="0" xfId="0" applyFont="1" applyFill="1" applyAlignment="1">
      <alignment horizontal="center" vertical="center"/>
    </xf>
    <xf numFmtId="0" fontId="2" fillId="56" borderId="0" xfId="0" applyFont="1" applyFill="1" applyAlignment="1">
      <alignment horizontal="center" vertical="center"/>
    </xf>
    <xf numFmtId="0" fontId="2" fillId="57" borderId="0" xfId="0" applyFont="1" applyFill="1" applyAlignment="1">
      <alignment horizontal="center" vertical="center"/>
    </xf>
    <xf numFmtId="0" fontId="2" fillId="58" borderId="0" xfId="0" applyFont="1" applyFill="1" applyAlignment="1">
      <alignment horizontal="center" vertical="center"/>
    </xf>
    <xf numFmtId="0" fontId="2" fillId="59" borderId="0" xfId="0" applyFont="1" applyFill="1" applyAlignment="1">
      <alignment horizontal="center" vertical="center"/>
    </xf>
    <xf numFmtId="0" fontId="2" fillId="60" borderId="0" xfId="0" applyFont="1" applyFill="1" applyAlignment="1">
      <alignment horizontal="center" vertical="center"/>
    </xf>
    <xf numFmtId="0" fontId="2" fillId="61" borderId="0" xfId="0" applyFont="1" applyFill="1" applyAlignment="1">
      <alignment horizontal="center" vertical="center"/>
    </xf>
    <xf numFmtId="0" fontId="2" fillId="62" borderId="0" xfId="0" applyFont="1" applyFill="1" applyAlignment="1">
      <alignment horizontal="center" vertical="center"/>
    </xf>
    <xf numFmtId="0" fontId="2" fillId="63" borderId="0" xfId="0" applyFont="1" applyFill="1" applyAlignment="1">
      <alignment horizontal="center" vertical="center"/>
    </xf>
    <xf numFmtId="0" fontId="2" fillId="64" borderId="0" xfId="0" applyFont="1" applyFill="1" applyAlignment="1">
      <alignment horizontal="center" vertical="center"/>
    </xf>
    <xf numFmtId="0" fontId="2" fillId="65" borderId="0" xfId="0" applyFont="1" applyFill="1" applyAlignment="1">
      <alignment horizontal="center" vertical="center"/>
    </xf>
    <xf numFmtId="0" fontId="2" fillId="66" borderId="0" xfId="0" applyFont="1" applyFill="1" applyAlignment="1">
      <alignment horizontal="center" vertical="center"/>
    </xf>
    <xf numFmtId="0" fontId="2" fillId="67" borderId="0" xfId="0" applyFont="1" applyFill="1" applyAlignment="1">
      <alignment horizontal="center" vertical="center"/>
    </xf>
    <xf numFmtId="0" fontId="2" fillId="68" borderId="0" xfId="0" applyFont="1" applyFill="1" applyAlignment="1">
      <alignment horizontal="center" vertical="center"/>
    </xf>
    <xf numFmtId="0" fontId="2" fillId="69" borderId="0" xfId="0" applyFont="1" applyFill="1" applyAlignment="1">
      <alignment horizontal="center" vertical="center"/>
    </xf>
    <xf numFmtId="0" fontId="2" fillId="70" borderId="0" xfId="0" applyFont="1" applyFill="1" applyAlignment="1">
      <alignment horizontal="center" vertical="center"/>
    </xf>
    <xf numFmtId="0" fontId="2" fillId="71" borderId="0" xfId="0" applyFont="1" applyFill="1" applyAlignment="1">
      <alignment horizontal="center" vertical="center"/>
    </xf>
    <xf numFmtId="0" fontId="2" fillId="72" borderId="0" xfId="0" applyFont="1" applyFill="1" applyAlignment="1">
      <alignment horizontal="center" vertical="center"/>
    </xf>
    <xf numFmtId="0" fontId="2" fillId="73" borderId="0" xfId="0" applyFont="1" applyFill="1" applyAlignment="1">
      <alignment horizontal="center" vertical="center"/>
    </xf>
    <xf numFmtId="0" fontId="2" fillId="74" borderId="0" xfId="0" applyFont="1" applyFill="1" applyAlignment="1">
      <alignment horizontal="center" vertical="center"/>
    </xf>
    <xf numFmtId="0" fontId="2" fillId="75" borderId="0" xfId="0" applyFont="1" applyFill="1" applyAlignment="1">
      <alignment horizontal="center" vertical="center"/>
    </xf>
    <xf numFmtId="0" fontId="2" fillId="76" borderId="0" xfId="0" applyFont="1" applyFill="1" applyAlignment="1">
      <alignment horizontal="center" vertical="center"/>
    </xf>
    <xf numFmtId="0" fontId="2" fillId="77" borderId="0" xfId="0" applyFont="1" applyFill="1" applyAlignment="1">
      <alignment horizontal="center" vertical="center"/>
    </xf>
    <xf numFmtId="0" fontId="2" fillId="78" borderId="0" xfId="0" applyFont="1" applyFill="1" applyAlignment="1">
      <alignment horizontal="center" vertical="center"/>
    </xf>
    <xf numFmtId="0" fontId="2" fillId="79" borderId="0" xfId="0" applyFont="1" applyFill="1" applyAlignment="1">
      <alignment horizontal="center" vertical="center"/>
    </xf>
    <xf numFmtId="0" fontId="2" fillId="80" borderId="0" xfId="0" applyFont="1" applyFill="1" applyAlignment="1">
      <alignment horizontal="center" vertical="center"/>
    </xf>
    <xf numFmtId="0" fontId="2" fillId="81" borderId="0" xfId="0" applyFont="1" applyFill="1" applyAlignment="1">
      <alignment horizontal="center" vertical="center"/>
    </xf>
    <xf numFmtId="0" fontId="2" fillId="82" borderId="0" xfId="0" applyFont="1" applyFill="1" applyAlignment="1">
      <alignment horizontal="center" vertical="center"/>
    </xf>
    <xf numFmtId="0" fontId="2" fillId="83" borderId="0" xfId="0" applyFont="1" applyFill="1" applyAlignment="1">
      <alignment horizontal="center" vertical="center"/>
    </xf>
    <xf numFmtId="0" fontId="2" fillId="84" borderId="0" xfId="0" applyFont="1" applyFill="1" applyAlignment="1">
      <alignment horizontal="center" vertical="center"/>
    </xf>
    <xf numFmtId="0" fontId="2" fillId="85" borderId="0" xfId="0" applyFont="1" applyFill="1" applyAlignment="1">
      <alignment horizontal="center" vertical="center"/>
    </xf>
    <xf numFmtId="0" fontId="2" fillId="86" borderId="0" xfId="0" applyFont="1" applyFill="1" applyAlignment="1">
      <alignment horizontal="center" vertical="center"/>
    </xf>
    <xf numFmtId="0" fontId="2" fillId="87" borderId="0" xfId="0" applyFont="1" applyFill="1" applyAlignment="1">
      <alignment horizontal="center" vertical="center"/>
    </xf>
    <xf numFmtId="0" fontId="2" fillId="88" borderId="0" xfId="0" applyFont="1" applyFill="1" applyAlignment="1">
      <alignment horizontal="center" vertical="center"/>
    </xf>
    <xf numFmtId="0" fontId="2" fillId="89" borderId="0" xfId="0" applyFont="1" applyFill="1" applyAlignment="1">
      <alignment horizontal="center" vertical="center"/>
    </xf>
    <xf numFmtId="0" fontId="2" fillId="90" borderId="0" xfId="0" applyFont="1" applyFill="1" applyAlignment="1">
      <alignment horizontal="center" vertical="center"/>
    </xf>
    <xf numFmtId="0" fontId="2" fillId="91" borderId="0" xfId="0" applyFont="1" applyFill="1" applyAlignment="1">
      <alignment horizontal="center" vertical="center"/>
    </xf>
    <xf numFmtId="0" fontId="2" fillId="92" borderId="0" xfId="0" applyFont="1" applyFill="1" applyAlignment="1">
      <alignment horizontal="center" vertical="center"/>
    </xf>
    <xf numFmtId="0" fontId="2" fillId="93" borderId="0" xfId="0" applyFont="1" applyFill="1" applyAlignment="1">
      <alignment horizontal="center" vertical="center"/>
    </xf>
    <xf numFmtId="0" fontId="2" fillId="94" borderId="0" xfId="0" applyFont="1" applyFill="1" applyAlignment="1">
      <alignment horizontal="center" vertical="center"/>
    </xf>
    <xf numFmtId="0" fontId="2" fillId="95" borderId="0" xfId="0" applyFont="1" applyFill="1" applyAlignment="1">
      <alignment horizontal="center" vertical="center"/>
    </xf>
    <xf numFmtId="0" fontId="2" fillId="96" borderId="0" xfId="0" applyFont="1" applyFill="1" applyAlignment="1">
      <alignment horizontal="center" vertical="center"/>
    </xf>
    <xf numFmtId="0" fontId="2" fillId="97" borderId="0" xfId="0" applyFont="1" applyFill="1" applyAlignment="1">
      <alignment horizontal="center" vertical="center"/>
    </xf>
    <xf numFmtId="0" fontId="2" fillId="98" borderId="0" xfId="0" applyFont="1" applyFill="1" applyAlignment="1">
      <alignment horizontal="center" vertical="center"/>
    </xf>
    <xf numFmtId="0" fontId="2" fillId="99" borderId="0" xfId="0" applyFont="1" applyFill="1" applyAlignment="1">
      <alignment horizontal="center" vertical="center"/>
    </xf>
    <xf numFmtId="0" fontId="2" fillId="100" borderId="0" xfId="0" applyFont="1" applyFill="1" applyAlignment="1">
      <alignment horizontal="center" vertical="center"/>
    </xf>
    <xf numFmtId="0" fontId="2" fillId="101" borderId="0" xfId="0" applyFont="1" applyFill="1" applyAlignment="1">
      <alignment horizontal="center" vertical="center"/>
    </xf>
    <xf numFmtId="0" fontId="2" fillId="102" borderId="0" xfId="0" applyFont="1" applyFill="1" applyAlignment="1">
      <alignment horizontal="center" vertical="center"/>
    </xf>
    <xf numFmtId="0" fontId="2" fillId="103" borderId="0" xfId="0" applyFont="1" applyFill="1" applyAlignment="1">
      <alignment horizontal="center" vertical="center"/>
    </xf>
    <xf numFmtId="0" fontId="2" fillId="104" borderId="0" xfId="0" applyFont="1" applyFill="1" applyAlignment="1">
      <alignment horizontal="center" vertical="center"/>
    </xf>
    <xf numFmtId="0" fontId="2" fillId="105" borderId="0" xfId="0" applyFont="1" applyFill="1" applyAlignment="1">
      <alignment horizontal="center" vertical="center"/>
    </xf>
    <xf numFmtId="0" fontId="2" fillId="106" borderId="0" xfId="0" applyFont="1" applyFill="1" applyAlignment="1">
      <alignment horizontal="center" vertical="center"/>
    </xf>
    <xf numFmtId="0" fontId="2" fillId="107" borderId="0" xfId="0" applyFont="1" applyFill="1" applyAlignment="1">
      <alignment horizontal="center" vertical="center"/>
    </xf>
    <xf numFmtId="0" fontId="2" fillId="108" borderId="0" xfId="0" applyFont="1" applyFill="1" applyAlignment="1">
      <alignment horizontal="center" vertical="center"/>
    </xf>
    <xf numFmtId="0" fontId="2" fillId="109" borderId="0" xfId="0" applyFont="1" applyFill="1" applyAlignment="1">
      <alignment horizontal="center" vertical="center"/>
    </xf>
    <xf numFmtId="0" fontId="2" fillId="110" borderId="0" xfId="0" applyFont="1" applyFill="1" applyAlignment="1">
      <alignment horizontal="center" vertical="center"/>
    </xf>
    <xf numFmtId="0" fontId="2" fillId="111" borderId="0" xfId="0" applyFont="1" applyFill="1" applyAlignment="1">
      <alignment horizontal="center" vertical="center"/>
    </xf>
    <xf numFmtId="0" fontId="2" fillId="112" borderId="0" xfId="0" applyFont="1" applyFill="1" applyAlignment="1">
      <alignment horizontal="center" vertical="center"/>
    </xf>
    <xf numFmtId="0" fontId="2" fillId="113" borderId="0" xfId="0" applyFont="1" applyFill="1" applyAlignment="1">
      <alignment horizontal="center" vertical="center"/>
    </xf>
    <xf numFmtId="0" fontId="2" fillId="114" borderId="0" xfId="0" applyFont="1" applyFill="1" applyAlignment="1">
      <alignment horizontal="center" vertical="center"/>
    </xf>
    <xf numFmtId="0" fontId="2" fillId="115" borderId="0" xfId="0" applyFont="1" applyFill="1" applyAlignment="1">
      <alignment horizontal="center" vertical="center"/>
    </xf>
    <xf numFmtId="0" fontId="2" fillId="116" borderId="0" xfId="0" applyFont="1" applyFill="1" applyAlignment="1">
      <alignment horizontal="center" vertical="center"/>
    </xf>
    <xf numFmtId="0" fontId="2" fillId="117" borderId="0" xfId="0" applyFont="1" applyFill="1" applyAlignment="1">
      <alignment horizontal="center" vertical="center"/>
    </xf>
    <xf numFmtId="0" fontId="2" fillId="118" borderId="0" xfId="0" applyFont="1" applyFill="1" applyAlignment="1">
      <alignment horizontal="center" vertical="center"/>
    </xf>
    <xf numFmtId="0" fontId="2" fillId="119" borderId="0" xfId="0" applyFont="1" applyFill="1" applyAlignment="1">
      <alignment horizontal="center" vertical="center"/>
    </xf>
    <xf numFmtId="0" fontId="2" fillId="120" borderId="0" xfId="0" applyFont="1" applyFill="1" applyAlignment="1">
      <alignment horizontal="center" vertical="center"/>
    </xf>
    <xf numFmtId="0" fontId="2" fillId="121" borderId="0" xfId="0" applyFont="1" applyFill="1" applyAlignment="1">
      <alignment horizontal="center" vertical="center"/>
    </xf>
    <xf numFmtId="0" fontId="2" fillId="122" borderId="0" xfId="0" applyFont="1" applyFill="1" applyAlignment="1">
      <alignment horizontal="center" vertical="center"/>
    </xf>
    <xf numFmtId="0" fontId="2" fillId="123" borderId="0" xfId="0" applyFont="1" applyFill="1" applyAlignment="1">
      <alignment horizontal="center" vertical="center"/>
    </xf>
    <xf numFmtId="0" fontId="2" fillId="124" borderId="0" xfId="0" applyFont="1" applyFill="1" applyAlignment="1">
      <alignment horizontal="center" vertical="center"/>
    </xf>
    <xf numFmtId="0" fontId="2" fillId="125" borderId="0" xfId="0" applyFont="1" applyFill="1" applyAlignment="1">
      <alignment horizontal="center" vertical="center"/>
    </xf>
    <xf numFmtId="0" fontId="2" fillId="126" borderId="0" xfId="0" applyFont="1" applyFill="1" applyAlignment="1">
      <alignment horizontal="center" vertical="center"/>
    </xf>
    <xf numFmtId="0" fontId="2" fillId="127" borderId="0" xfId="0" applyFont="1" applyFill="1" applyAlignment="1">
      <alignment horizontal="center" vertical="center"/>
    </xf>
    <xf numFmtId="0" fontId="2" fillId="128" borderId="0" xfId="0" applyFont="1" applyFill="1" applyAlignment="1">
      <alignment horizontal="center" vertical="center"/>
    </xf>
    <xf numFmtId="0" fontId="2" fillId="129" borderId="0" xfId="0" applyFont="1" applyFill="1" applyAlignment="1">
      <alignment horizontal="center" vertical="center"/>
    </xf>
    <xf numFmtId="0" fontId="2" fillId="130" borderId="0" xfId="0" applyFont="1" applyFill="1" applyAlignment="1">
      <alignment horizontal="center" vertical="center"/>
    </xf>
    <xf numFmtId="0" fontId="2" fillId="131" borderId="0" xfId="0" applyFont="1" applyFill="1" applyAlignment="1">
      <alignment horizontal="center" vertical="center"/>
    </xf>
    <xf numFmtId="0" fontId="2" fillId="132" borderId="0" xfId="0" applyFont="1" applyFill="1" applyAlignment="1">
      <alignment horizontal="center" vertical="center"/>
    </xf>
    <xf numFmtId="0" fontId="2" fillId="133" borderId="0" xfId="0" applyFont="1" applyFill="1" applyAlignment="1">
      <alignment horizontal="center" vertical="center"/>
    </xf>
    <xf numFmtId="0" fontId="2" fillId="134" borderId="0" xfId="0" applyFont="1" applyFill="1" applyAlignment="1">
      <alignment horizontal="center" vertical="center"/>
    </xf>
    <xf numFmtId="0" fontId="2" fillId="135" borderId="0" xfId="0" applyFont="1" applyFill="1" applyAlignment="1">
      <alignment horizontal="center" vertical="center"/>
    </xf>
    <xf numFmtId="0" fontId="2" fillId="136" borderId="0" xfId="0" applyFont="1" applyFill="1" applyAlignment="1">
      <alignment horizontal="center" vertical="center"/>
    </xf>
    <xf numFmtId="0" fontId="2" fillId="137" borderId="0" xfId="0" applyFont="1" applyFill="1" applyAlignment="1">
      <alignment horizontal="center" vertical="center"/>
    </xf>
    <xf numFmtId="0" fontId="2" fillId="138" borderId="0" xfId="0" applyFont="1" applyFill="1" applyAlignment="1">
      <alignment horizontal="center" vertical="center"/>
    </xf>
    <xf numFmtId="0" fontId="2" fillId="139" borderId="0" xfId="0" applyFont="1" applyFill="1" applyAlignment="1">
      <alignment horizontal="center" vertical="center"/>
    </xf>
    <xf numFmtId="0" fontId="2" fillId="140" borderId="0" xfId="0" applyFont="1" applyFill="1" applyAlignment="1">
      <alignment horizontal="center" vertical="center"/>
    </xf>
    <xf numFmtId="0" fontId="2" fillId="141" borderId="0" xfId="0" applyFont="1" applyFill="1" applyAlignment="1">
      <alignment horizontal="center" vertical="center"/>
    </xf>
    <xf numFmtId="0" fontId="2" fillId="142" borderId="0" xfId="0" applyFont="1" applyFill="1" applyAlignment="1">
      <alignment horizontal="center" vertical="center"/>
    </xf>
    <xf numFmtId="0" fontId="2" fillId="143" borderId="0" xfId="0" applyFont="1" applyFill="1" applyAlignment="1">
      <alignment horizontal="center" vertical="center"/>
    </xf>
    <xf numFmtId="0" fontId="2" fillId="144" borderId="0" xfId="0" applyFont="1" applyFill="1" applyAlignment="1">
      <alignment horizontal="center" vertical="center"/>
    </xf>
    <xf numFmtId="0" fontId="2" fillId="145" borderId="0" xfId="0" applyFont="1" applyFill="1" applyAlignment="1">
      <alignment horizontal="center" vertical="center"/>
    </xf>
    <xf numFmtId="0" fontId="2" fillId="146" borderId="0" xfId="0" applyFont="1" applyFill="1" applyAlignment="1">
      <alignment horizontal="center" vertical="center"/>
    </xf>
    <xf numFmtId="0" fontId="2" fillId="147" borderId="0" xfId="0" applyFont="1" applyFill="1" applyAlignment="1">
      <alignment horizontal="center" vertical="center"/>
    </xf>
    <xf numFmtId="0" fontId="2" fillId="148" borderId="0" xfId="0" applyFont="1" applyFill="1" applyAlignment="1">
      <alignment horizontal="center" vertical="center"/>
    </xf>
    <xf numFmtId="0" fontId="2" fillId="149" borderId="0" xfId="0" applyFont="1" applyFill="1" applyAlignment="1">
      <alignment horizontal="center" vertical="center"/>
    </xf>
    <xf numFmtId="0" fontId="2" fillId="150" borderId="0" xfId="0" applyFont="1" applyFill="1" applyAlignment="1">
      <alignment horizontal="center" vertical="center"/>
    </xf>
    <xf numFmtId="0" fontId="2" fillId="151" borderId="0" xfId="0" applyFont="1" applyFill="1" applyAlignment="1">
      <alignment horizontal="center" vertical="center"/>
    </xf>
    <xf numFmtId="0" fontId="2" fillId="152" borderId="0" xfId="0" applyFont="1" applyFill="1" applyAlignment="1">
      <alignment horizontal="center" vertical="center"/>
    </xf>
    <xf numFmtId="0" fontId="2" fillId="153" borderId="0" xfId="0" applyFont="1" applyFill="1" applyAlignment="1">
      <alignment horizontal="center" vertical="center"/>
    </xf>
    <xf numFmtId="0" fontId="2" fillId="154" borderId="0" xfId="0" applyFont="1" applyFill="1" applyAlignment="1">
      <alignment horizontal="center" vertical="center"/>
    </xf>
    <xf numFmtId="0" fontId="2" fillId="155" borderId="0" xfId="0" applyFont="1" applyFill="1" applyAlignment="1">
      <alignment horizontal="center" vertical="center"/>
    </xf>
    <xf numFmtId="0" fontId="2" fillId="156" borderId="0" xfId="0" applyFont="1" applyFill="1" applyAlignment="1">
      <alignment horizontal="center" vertical="center"/>
    </xf>
    <xf numFmtId="0" fontId="2" fillId="157" borderId="0" xfId="0" applyFont="1" applyFill="1" applyAlignment="1">
      <alignment horizontal="center" vertical="center"/>
    </xf>
    <xf numFmtId="0" fontId="2" fillId="158" borderId="0" xfId="0" applyFont="1" applyFill="1" applyAlignment="1">
      <alignment horizontal="center" vertical="center"/>
    </xf>
    <xf numFmtId="0" fontId="2" fillId="159" borderId="0" xfId="0" applyFont="1" applyFill="1" applyAlignment="1">
      <alignment horizontal="center" vertical="center"/>
    </xf>
    <xf numFmtId="0" fontId="2" fillId="160" borderId="0" xfId="0" applyFont="1" applyFill="1" applyAlignment="1">
      <alignment horizontal="center" vertical="center"/>
    </xf>
    <xf numFmtId="0" fontId="2" fillId="161" borderId="0" xfId="0" applyFont="1" applyFill="1" applyAlignment="1">
      <alignment horizontal="center" vertical="center"/>
    </xf>
    <xf numFmtId="0" fontId="2" fillId="162" borderId="0" xfId="0" applyFont="1" applyFill="1" applyAlignment="1">
      <alignment horizontal="center" vertical="center"/>
    </xf>
    <xf numFmtId="0" fontId="2" fillId="163" borderId="0" xfId="0" applyFont="1" applyFill="1" applyAlignment="1">
      <alignment horizontal="center" vertical="center"/>
    </xf>
    <xf numFmtId="0" fontId="2" fillId="164" borderId="0" xfId="0" applyFont="1" applyFill="1" applyAlignment="1">
      <alignment horizontal="center" vertical="center"/>
    </xf>
    <xf numFmtId="0" fontId="2" fillId="165" borderId="0" xfId="0" applyFont="1" applyFill="1" applyAlignment="1">
      <alignment horizontal="center" vertical="center"/>
    </xf>
    <xf numFmtId="0" fontId="2" fillId="166" borderId="0" xfId="0" applyFont="1" applyFill="1" applyAlignment="1">
      <alignment horizontal="center" vertical="center"/>
    </xf>
    <xf numFmtId="0" fontId="2" fillId="167" borderId="0" xfId="0" applyFont="1" applyFill="1" applyAlignment="1">
      <alignment horizontal="center" vertical="center"/>
    </xf>
    <xf numFmtId="0" fontId="2" fillId="168" borderId="0" xfId="0" applyFont="1" applyFill="1" applyAlignment="1">
      <alignment horizontal="center" vertical="center"/>
    </xf>
    <xf numFmtId="0" fontId="2" fillId="169" borderId="0" xfId="0" applyFont="1" applyFill="1" applyAlignment="1">
      <alignment horizontal="center" vertical="center"/>
    </xf>
    <xf numFmtId="0" fontId="2" fillId="170" borderId="0" xfId="0" applyFont="1" applyFill="1" applyAlignment="1">
      <alignment horizontal="center" vertical="center"/>
    </xf>
    <xf numFmtId="0" fontId="2" fillId="171" borderId="0" xfId="0" applyFont="1" applyFill="1" applyAlignment="1">
      <alignment horizontal="center" vertical="center"/>
    </xf>
    <xf numFmtId="0" fontId="2" fillId="172" borderId="0" xfId="0" applyFont="1" applyFill="1" applyAlignment="1">
      <alignment horizontal="center" vertical="center"/>
    </xf>
    <xf numFmtId="0" fontId="2" fillId="173" borderId="0" xfId="0" applyFont="1" applyFill="1" applyAlignment="1">
      <alignment horizontal="center" vertical="center"/>
    </xf>
    <xf numFmtId="0" fontId="2" fillId="174" borderId="0" xfId="0" applyFont="1" applyFill="1" applyAlignment="1">
      <alignment horizontal="center" vertical="center"/>
    </xf>
    <xf numFmtId="0" fontId="2" fillId="175" borderId="0" xfId="0" applyFont="1" applyFill="1" applyAlignment="1">
      <alignment horizontal="center" vertical="center"/>
    </xf>
    <xf numFmtId="0" fontId="2" fillId="176" borderId="0" xfId="0" applyFont="1" applyFill="1" applyAlignment="1">
      <alignment horizontal="center" vertical="center"/>
    </xf>
    <xf numFmtId="0" fontId="2" fillId="177" borderId="0" xfId="0" applyFont="1" applyFill="1" applyAlignment="1">
      <alignment horizontal="center" vertical="center"/>
    </xf>
    <xf numFmtId="0" fontId="2" fillId="178" borderId="0" xfId="0" applyFont="1" applyFill="1" applyAlignment="1">
      <alignment horizontal="center" vertical="center"/>
    </xf>
    <xf numFmtId="0" fontId="2" fillId="179" borderId="0" xfId="0" applyFont="1" applyFill="1" applyAlignment="1">
      <alignment horizontal="center" vertical="center"/>
    </xf>
    <xf numFmtId="0" fontId="2" fillId="180" borderId="0" xfId="0" applyFont="1" applyFill="1" applyAlignment="1">
      <alignment horizontal="center" vertical="center"/>
    </xf>
    <xf numFmtId="0" fontId="2" fillId="181" borderId="0" xfId="0" applyFont="1" applyFill="1" applyAlignment="1">
      <alignment horizontal="center" vertical="center"/>
    </xf>
    <xf numFmtId="0" fontId="2" fillId="182" borderId="0" xfId="0" applyFont="1" applyFill="1" applyAlignment="1">
      <alignment horizontal="center" vertical="center"/>
    </xf>
    <xf numFmtId="0" fontId="2" fillId="183" borderId="0" xfId="0" applyFont="1" applyFill="1" applyAlignment="1">
      <alignment horizontal="center" vertical="center"/>
    </xf>
    <xf numFmtId="0" fontId="2" fillId="184" borderId="0" xfId="0" applyFont="1" applyFill="1" applyAlignment="1">
      <alignment horizontal="center" vertical="center"/>
    </xf>
    <xf numFmtId="0" fontId="2" fillId="185" borderId="0" xfId="0" applyFont="1" applyFill="1" applyAlignment="1">
      <alignment horizontal="center" vertical="center"/>
    </xf>
    <xf numFmtId="0" fontId="2" fillId="186" borderId="0" xfId="0" applyFont="1" applyFill="1" applyAlignment="1">
      <alignment horizontal="center" vertical="center"/>
    </xf>
    <xf numFmtId="0" fontId="2" fillId="187" borderId="0" xfId="0" applyFont="1" applyFill="1" applyAlignment="1">
      <alignment horizontal="center" vertical="center"/>
    </xf>
    <xf numFmtId="0" fontId="2" fillId="188" borderId="0" xfId="0" applyFont="1" applyFill="1" applyAlignment="1">
      <alignment horizontal="center" vertical="center"/>
    </xf>
    <xf numFmtId="0" fontId="2" fillId="189" borderId="0" xfId="0" applyFont="1" applyFill="1" applyAlignment="1">
      <alignment horizontal="center" vertical="center"/>
    </xf>
    <xf numFmtId="0" fontId="2" fillId="190" borderId="0" xfId="0" applyFont="1" applyFill="1" applyAlignment="1">
      <alignment horizontal="center" vertical="center"/>
    </xf>
    <xf numFmtId="0" fontId="2" fillId="191" borderId="0" xfId="0" applyFont="1" applyFill="1" applyAlignment="1">
      <alignment horizontal="center" vertical="center"/>
    </xf>
    <xf numFmtId="0" fontId="2" fillId="192" borderId="0" xfId="0" applyFont="1" applyFill="1" applyAlignment="1">
      <alignment horizontal="center" vertical="center"/>
    </xf>
    <xf numFmtId="0" fontId="2" fillId="193" borderId="0" xfId="0" applyFont="1" applyFill="1" applyAlignment="1">
      <alignment horizontal="center" vertical="center"/>
    </xf>
    <xf numFmtId="0" fontId="2" fillId="194" borderId="0" xfId="0" applyFont="1" applyFill="1" applyAlignment="1">
      <alignment horizontal="center" vertical="center"/>
    </xf>
    <xf numFmtId="0" fontId="2" fillId="195" borderId="0" xfId="0" applyFont="1" applyFill="1" applyAlignment="1">
      <alignment horizontal="center" vertical="center"/>
    </xf>
    <xf numFmtId="0" fontId="2" fillId="196" borderId="0" xfId="0" applyFont="1" applyFill="1" applyAlignment="1">
      <alignment horizontal="center" vertical="center"/>
    </xf>
    <xf numFmtId="0" fontId="2" fillId="197" borderId="0" xfId="0" applyFont="1" applyFill="1" applyAlignment="1">
      <alignment horizontal="center" vertical="center"/>
    </xf>
    <xf numFmtId="0" fontId="2" fillId="198" borderId="0" xfId="0" applyFont="1" applyFill="1" applyAlignment="1">
      <alignment horizontal="center" vertical="center"/>
    </xf>
    <xf numFmtId="0" fontId="2" fillId="199" borderId="0" xfId="0" applyFont="1" applyFill="1" applyAlignment="1">
      <alignment horizontal="center" vertical="center"/>
    </xf>
    <xf numFmtId="0" fontId="2" fillId="200" borderId="0" xfId="0" applyFont="1" applyFill="1" applyAlignment="1">
      <alignment horizontal="center" vertical="center"/>
    </xf>
    <xf numFmtId="0" fontId="2" fillId="201" borderId="0" xfId="0" applyFont="1" applyFill="1" applyAlignment="1">
      <alignment horizontal="center" vertical="center"/>
    </xf>
    <xf numFmtId="0" fontId="2" fillId="202" borderId="0" xfId="0" applyFont="1" applyFill="1" applyAlignment="1">
      <alignment horizontal="center" vertical="center"/>
    </xf>
    <xf numFmtId="0" fontId="2" fillId="203" borderId="0" xfId="0" applyFont="1" applyFill="1" applyAlignment="1">
      <alignment horizontal="center" vertical="center"/>
    </xf>
    <xf numFmtId="0" fontId="2" fillId="204" borderId="0" xfId="0" applyFont="1" applyFill="1" applyAlignment="1">
      <alignment horizontal="center" vertical="center"/>
    </xf>
    <xf numFmtId="0" fontId="2" fillId="205" borderId="0" xfId="0" applyFont="1" applyFill="1" applyAlignment="1">
      <alignment horizontal="center" vertical="center"/>
    </xf>
    <xf numFmtId="0" fontId="2" fillId="206" borderId="0" xfId="0" applyFont="1" applyFill="1" applyAlignment="1">
      <alignment horizontal="center" vertical="center"/>
    </xf>
    <xf numFmtId="0" fontId="2" fillId="207" borderId="0" xfId="0" applyFont="1" applyFill="1" applyAlignment="1">
      <alignment horizontal="center" vertical="center"/>
    </xf>
    <xf numFmtId="0" fontId="2" fillId="208" borderId="0" xfId="0" applyFont="1" applyFill="1" applyAlignment="1">
      <alignment horizontal="center" vertical="center"/>
    </xf>
    <xf numFmtId="0" fontId="2" fillId="209" borderId="0" xfId="0" applyFont="1" applyFill="1" applyAlignment="1">
      <alignment horizontal="center" vertical="center"/>
    </xf>
    <xf numFmtId="0" fontId="2" fillId="210" borderId="0" xfId="0" applyFont="1" applyFill="1" applyAlignment="1">
      <alignment horizontal="center" vertical="center"/>
    </xf>
    <xf numFmtId="0" fontId="2" fillId="211" borderId="0" xfId="0" applyFont="1" applyFill="1" applyAlignment="1">
      <alignment horizontal="center" vertical="center"/>
    </xf>
    <xf numFmtId="0" fontId="2" fillId="212" borderId="0" xfId="0" applyFont="1" applyFill="1" applyAlignment="1">
      <alignment horizontal="center" vertical="center"/>
    </xf>
    <xf numFmtId="0" fontId="2" fillId="213" borderId="0" xfId="0" applyFont="1" applyFill="1" applyAlignment="1">
      <alignment horizontal="center" vertical="center"/>
    </xf>
    <xf numFmtId="0" fontId="2" fillId="214" borderId="0" xfId="0" applyFont="1" applyFill="1" applyAlignment="1">
      <alignment horizontal="center" vertical="center"/>
    </xf>
    <xf numFmtId="0" fontId="2" fillId="215" borderId="0" xfId="0" applyFont="1" applyFill="1" applyAlignment="1">
      <alignment horizontal="center" vertical="center"/>
    </xf>
    <xf numFmtId="0" fontId="2" fillId="216" borderId="0" xfId="0" applyFont="1" applyFill="1" applyAlignment="1">
      <alignment horizontal="center" vertical="center"/>
    </xf>
    <xf numFmtId="0" fontId="2" fillId="217" borderId="0" xfId="0" applyFont="1" applyFill="1" applyAlignment="1">
      <alignment horizontal="center" vertical="center"/>
    </xf>
    <xf numFmtId="0" fontId="2" fillId="218" borderId="0" xfId="0" applyFont="1" applyFill="1" applyAlignment="1">
      <alignment horizontal="center" vertical="center"/>
    </xf>
    <xf numFmtId="0" fontId="2" fillId="219" borderId="0" xfId="0" applyFont="1" applyFill="1" applyAlignment="1">
      <alignment horizontal="center" vertical="center"/>
    </xf>
    <xf numFmtId="0" fontId="2" fillId="220" borderId="0" xfId="0" applyFont="1" applyFill="1" applyAlignment="1">
      <alignment horizontal="center" vertical="center"/>
    </xf>
    <xf numFmtId="0" fontId="2" fillId="221" borderId="0" xfId="0" applyFont="1" applyFill="1" applyAlignment="1">
      <alignment horizontal="center" vertical="center"/>
    </xf>
    <xf numFmtId="0" fontId="2" fillId="222" borderId="0" xfId="0" applyFont="1" applyFill="1" applyAlignment="1">
      <alignment horizontal="center" vertical="center"/>
    </xf>
    <xf numFmtId="0" fontId="2" fillId="223" borderId="0" xfId="0" applyFont="1" applyFill="1" applyAlignment="1">
      <alignment horizontal="center" vertical="center"/>
    </xf>
    <xf numFmtId="0" fontId="2" fillId="224" borderId="0" xfId="0" applyFont="1" applyFill="1" applyAlignment="1">
      <alignment horizontal="center" vertical="center"/>
    </xf>
    <xf numFmtId="0" fontId="2" fillId="225" borderId="0" xfId="0" applyFont="1" applyFill="1" applyAlignment="1">
      <alignment horizontal="center" vertical="center"/>
    </xf>
    <xf numFmtId="0" fontId="2" fillId="226" borderId="0" xfId="0" applyFont="1" applyFill="1" applyAlignment="1">
      <alignment horizontal="center" vertical="center"/>
    </xf>
    <xf numFmtId="0" fontId="2" fillId="227" borderId="0" xfId="0" applyFont="1" applyFill="1" applyAlignment="1">
      <alignment horizontal="center" vertical="center"/>
    </xf>
    <xf numFmtId="0" fontId="2" fillId="228" borderId="0" xfId="0" applyFont="1" applyFill="1" applyAlignment="1">
      <alignment horizontal="center" vertical="center"/>
    </xf>
    <xf numFmtId="0" fontId="2" fillId="229" borderId="0" xfId="0" applyFont="1" applyFill="1" applyAlignment="1">
      <alignment horizontal="center" vertical="center"/>
    </xf>
    <xf numFmtId="0" fontId="2" fillId="230" borderId="0" xfId="0" applyFont="1" applyFill="1" applyAlignment="1">
      <alignment horizontal="center" vertical="center"/>
    </xf>
    <xf numFmtId="0" fontId="2" fillId="231" borderId="0" xfId="0" applyFont="1" applyFill="1" applyAlignment="1">
      <alignment horizontal="center" vertical="center"/>
    </xf>
    <xf numFmtId="0" fontId="2" fillId="232" borderId="0" xfId="0" applyFont="1" applyFill="1" applyAlignment="1">
      <alignment horizontal="center" vertical="center"/>
    </xf>
    <xf numFmtId="0" fontId="2" fillId="233" borderId="0" xfId="0" applyFont="1" applyFill="1" applyAlignment="1">
      <alignment horizontal="center" vertical="center"/>
    </xf>
    <xf numFmtId="0" fontId="2" fillId="234" borderId="0" xfId="0" applyFont="1" applyFill="1" applyAlignment="1">
      <alignment horizontal="center" vertical="center"/>
    </xf>
    <xf numFmtId="0" fontId="2" fillId="235" borderId="0" xfId="0" applyFont="1" applyFill="1" applyAlignment="1">
      <alignment horizontal="center" vertical="center"/>
    </xf>
    <xf numFmtId="0" fontId="2" fillId="236" borderId="0" xfId="0" applyFont="1" applyFill="1" applyAlignment="1">
      <alignment horizontal="center" vertical="center"/>
    </xf>
    <xf numFmtId="0" fontId="2" fillId="237" borderId="0" xfId="0" applyFont="1" applyFill="1" applyAlignment="1">
      <alignment horizontal="center" vertical="center"/>
    </xf>
    <xf numFmtId="0" fontId="2" fillId="238" borderId="0" xfId="0" applyFont="1" applyFill="1" applyAlignment="1">
      <alignment horizontal="center" vertical="center"/>
    </xf>
    <xf numFmtId="0" fontId="2" fillId="239" borderId="0" xfId="0" applyFont="1" applyFill="1" applyAlignment="1">
      <alignment horizontal="center" vertical="center"/>
    </xf>
    <xf numFmtId="0" fontId="2" fillId="240" borderId="0" xfId="0" applyFont="1" applyFill="1" applyAlignment="1">
      <alignment horizontal="center" vertical="center"/>
    </xf>
    <xf numFmtId="0" fontId="2" fillId="241" borderId="0" xfId="0" applyFont="1" applyFill="1" applyAlignment="1">
      <alignment horizontal="center" vertical="center"/>
    </xf>
    <xf numFmtId="0" fontId="2" fillId="242" borderId="0" xfId="0" applyFont="1" applyFill="1" applyAlignment="1">
      <alignment horizontal="center" vertical="center"/>
    </xf>
    <xf numFmtId="0" fontId="2" fillId="243" borderId="0" xfId="0" applyFont="1" applyFill="1" applyAlignment="1">
      <alignment horizontal="center" vertical="center"/>
    </xf>
    <xf numFmtId="0" fontId="2" fillId="244" borderId="0" xfId="0" applyFont="1" applyFill="1" applyAlignment="1">
      <alignment horizontal="center" vertical="center"/>
    </xf>
    <xf numFmtId="0" fontId="2" fillId="245" borderId="0" xfId="0" applyFont="1" applyFill="1" applyAlignment="1">
      <alignment horizontal="center" vertical="center"/>
    </xf>
    <xf numFmtId="0" fontId="2" fillId="246" borderId="0" xfId="0" applyFont="1" applyFill="1" applyAlignment="1">
      <alignment horizontal="center" vertical="center"/>
    </xf>
    <xf numFmtId="0" fontId="2" fillId="247" borderId="0" xfId="0" applyFont="1" applyFill="1" applyAlignment="1">
      <alignment horizontal="center" vertical="center"/>
    </xf>
    <xf numFmtId="0" fontId="2" fillId="248" borderId="0" xfId="0" applyFont="1" applyFill="1" applyAlignment="1">
      <alignment horizontal="center" vertical="center"/>
    </xf>
    <xf numFmtId="0" fontId="2" fillId="249" borderId="0" xfId="0" applyFont="1" applyFill="1" applyAlignment="1">
      <alignment horizontal="center" vertical="center"/>
    </xf>
    <xf numFmtId="0" fontId="2" fillId="250" borderId="0" xfId="0" applyFont="1" applyFill="1" applyAlignment="1">
      <alignment horizontal="center" vertical="center"/>
    </xf>
    <xf numFmtId="0" fontId="2" fillId="251" borderId="0" xfId="0" applyFont="1" applyFill="1" applyAlignment="1">
      <alignment horizontal="center" vertical="center"/>
    </xf>
    <xf numFmtId="0" fontId="2" fillId="252" borderId="0" xfId="0" applyFont="1" applyFill="1" applyAlignment="1">
      <alignment horizontal="center" vertical="center"/>
    </xf>
    <xf numFmtId="0" fontId="2" fillId="253" borderId="0" xfId="0" applyFont="1" applyFill="1" applyAlignment="1">
      <alignment horizontal="center" vertical="center"/>
    </xf>
    <xf numFmtId="0" fontId="2" fillId="254" borderId="0" xfId="0" applyFont="1" applyFill="1" applyAlignment="1">
      <alignment horizontal="center" vertical="center"/>
    </xf>
    <xf numFmtId="0" fontId="2" fillId="255" borderId="0" xfId="0" applyFont="1" applyFill="1" applyAlignment="1">
      <alignment horizontal="center" vertical="center"/>
    </xf>
    <xf numFmtId="0" fontId="2" fillId="256" borderId="0" xfId="0" applyFont="1" applyFill="1" applyAlignment="1">
      <alignment horizontal="center" vertical="center"/>
    </xf>
    <xf numFmtId="0" fontId="2" fillId="257" borderId="0" xfId="0" applyFont="1" applyFill="1" applyAlignment="1">
      <alignment horizontal="center" vertical="center"/>
    </xf>
    <xf numFmtId="0" fontId="2" fillId="258" borderId="0" xfId="0" applyFont="1" applyFill="1" applyAlignment="1">
      <alignment horizontal="center" vertical="center"/>
    </xf>
    <xf numFmtId="0" fontId="2" fillId="259" borderId="0" xfId="0" applyFont="1" applyFill="1" applyAlignment="1">
      <alignment horizontal="center" vertical="center"/>
    </xf>
    <xf numFmtId="0" fontId="2" fillId="260" borderId="0" xfId="0" applyFont="1" applyFill="1" applyAlignment="1">
      <alignment horizontal="center" vertical="center"/>
    </xf>
    <xf numFmtId="0" fontId="2" fillId="261" borderId="0" xfId="0" applyFont="1" applyFill="1" applyAlignment="1">
      <alignment horizontal="center" vertical="center"/>
    </xf>
    <xf numFmtId="0" fontId="2" fillId="262" borderId="0" xfId="0" applyFont="1" applyFill="1" applyAlignment="1">
      <alignment horizontal="center" vertical="center"/>
    </xf>
    <xf numFmtId="0" fontId="2" fillId="263" borderId="0" xfId="0" applyFont="1" applyFill="1" applyAlignment="1">
      <alignment horizontal="center" vertical="center"/>
    </xf>
    <xf numFmtId="0" fontId="2" fillId="264" borderId="0" xfId="0" applyFont="1" applyFill="1" applyAlignment="1">
      <alignment horizontal="center" vertical="center"/>
    </xf>
    <xf numFmtId="0" fontId="2" fillId="265" borderId="0" xfId="0" applyFont="1" applyFill="1" applyAlignment="1">
      <alignment horizontal="center" vertical="center"/>
    </xf>
    <xf numFmtId="0" fontId="2" fillId="266" borderId="0" xfId="0" applyFont="1" applyFill="1" applyAlignment="1">
      <alignment horizontal="center" vertical="center"/>
    </xf>
    <xf numFmtId="0" fontId="2" fillId="267" borderId="0" xfId="0" applyFont="1" applyFill="1" applyAlignment="1">
      <alignment horizontal="center" vertical="center"/>
    </xf>
    <xf numFmtId="0" fontId="2" fillId="268" borderId="0" xfId="0" applyFont="1" applyFill="1" applyAlignment="1">
      <alignment horizontal="center" vertical="center"/>
    </xf>
    <xf numFmtId="0" fontId="2" fillId="269" borderId="0" xfId="0" applyFont="1" applyFill="1" applyAlignment="1">
      <alignment horizontal="center" vertical="center"/>
    </xf>
    <xf numFmtId="0" fontId="2" fillId="270" borderId="0" xfId="0" applyFont="1" applyFill="1" applyAlignment="1">
      <alignment horizontal="center" vertical="center"/>
    </xf>
    <xf numFmtId="0" fontId="2" fillId="271" borderId="0" xfId="0" applyFont="1" applyFill="1" applyAlignment="1">
      <alignment horizontal="center" vertical="center"/>
    </xf>
    <xf numFmtId="0" fontId="2" fillId="272" borderId="0" xfId="0" applyFont="1" applyFill="1" applyAlignment="1">
      <alignment horizontal="center" vertical="center"/>
    </xf>
    <xf numFmtId="0" fontId="2" fillId="273" borderId="0" xfId="0" applyFont="1" applyFill="1" applyAlignment="1">
      <alignment horizontal="center" vertical="center"/>
    </xf>
    <xf numFmtId="0" fontId="2" fillId="274" borderId="0" xfId="0" applyFont="1" applyFill="1" applyAlignment="1">
      <alignment horizontal="center" vertical="center"/>
    </xf>
    <xf numFmtId="0" fontId="2" fillId="275" borderId="0" xfId="0" applyFont="1" applyFill="1" applyAlignment="1">
      <alignment horizontal="center" vertical="center"/>
    </xf>
    <xf numFmtId="0" fontId="2" fillId="276" borderId="0" xfId="0" applyFont="1" applyFill="1" applyAlignment="1">
      <alignment horizontal="center" vertical="center"/>
    </xf>
    <xf numFmtId="0" fontId="2" fillId="277" borderId="0" xfId="0" applyFont="1" applyFill="1" applyAlignment="1">
      <alignment horizontal="center" vertical="center"/>
    </xf>
    <xf numFmtId="0" fontId="2" fillId="278" borderId="0" xfId="0" applyFont="1" applyFill="1" applyAlignment="1">
      <alignment horizontal="center" vertical="center"/>
    </xf>
    <xf numFmtId="0" fontId="2" fillId="279" borderId="0" xfId="0" applyFont="1" applyFill="1" applyAlignment="1">
      <alignment horizontal="center" vertical="center"/>
    </xf>
    <xf numFmtId="0" fontId="2" fillId="280" borderId="0" xfId="0" applyFont="1" applyFill="1" applyAlignment="1">
      <alignment horizontal="center" vertical="center"/>
    </xf>
    <xf numFmtId="0" fontId="2" fillId="281" borderId="0" xfId="0" applyFont="1" applyFill="1" applyAlignment="1">
      <alignment horizontal="center" vertical="center"/>
    </xf>
    <xf numFmtId="0" fontId="2" fillId="282" borderId="0" xfId="0" applyFont="1" applyFill="1" applyAlignment="1">
      <alignment horizontal="center" vertical="center"/>
    </xf>
    <xf numFmtId="0" fontId="2" fillId="283" borderId="0" xfId="0" applyFont="1" applyFill="1" applyAlignment="1">
      <alignment horizontal="center" vertical="center"/>
    </xf>
    <xf numFmtId="0" fontId="2" fillId="284" borderId="0" xfId="0" applyFont="1" applyFill="1" applyAlignment="1">
      <alignment horizontal="center" vertical="center"/>
    </xf>
    <xf numFmtId="0" fontId="2" fillId="285" borderId="0" xfId="0" applyFont="1" applyFill="1" applyAlignment="1">
      <alignment horizontal="center" vertical="center"/>
    </xf>
    <xf numFmtId="0" fontId="2" fillId="286" borderId="0" xfId="0" applyFont="1" applyFill="1" applyAlignment="1">
      <alignment horizontal="center" vertical="center"/>
    </xf>
    <xf numFmtId="0" fontId="2" fillId="287" borderId="0" xfId="0" applyFont="1" applyFill="1" applyAlignment="1">
      <alignment horizontal="center" vertical="center"/>
    </xf>
    <xf numFmtId="0" fontId="2" fillId="288" borderId="0" xfId="0" applyFont="1" applyFill="1" applyAlignment="1">
      <alignment horizontal="center" vertical="center"/>
    </xf>
    <xf numFmtId="0" fontId="2" fillId="289" borderId="0" xfId="0" applyFont="1" applyFill="1" applyAlignment="1">
      <alignment horizontal="center" vertical="center"/>
    </xf>
    <xf numFmtId="0" fontId="2" fillId="290" borderId="0" xfId="0" applyFont="1" applyFill="1" applyAlignment="1">
      <alignment horizontal="center" vertical="center"/>
    </xf>
    <xf numFmtId="0" fontId="2" fillId="291" borderId="0" xfId="0" applyFont="1" applyFill="1" applyAlignment="1">
      <alignment horizontal="center" vertical="center"/>
    </xf>
    <xf numFmtId="0" fontId="2" fillId="292" borderId="0" xfId="0" applyFont="1" applyFill="1" applyAlignment="1">
      <alignment horizontal="center" vertical="center"/>
    </xf>
    <xf numFmtId="0" fontId="2" fillId="293" borderId="0" xfId="0" applyFont="1" applyFill="1" applyAlignment="1">
      <alignment horizontal="center" vertical="center"/>
    </xf>
    <xf numFmtId="0" fontId="2" fillId="294" borderId="0" xfId="0" applyFont="1" applyFill="1" applyAlignment="1">
      <alignment horizontal="center" vertical="center"/>
    </xf>
    <xf numFmtId="0" fontId="2" fillId="295" borderId="0" xfId="0" applyFont="1" applyFill="1" applyAlignment="1">
      <alignment horizontal="center" vertical="center"/>
    </xf>
    <xf numFmtId="0" fontId="2" fillId="296" borderId="0" xfId="0" applyFont="1" applyFill="1" applyAlignment="1">
      <alignment horizontal="center" vertical="center"/>
    </xf>
    <xf numFmtId="0" fontId="2" fillId="297" borderId="0" xfId="0" applyFont="1" applyFill="1" applyAlignment="1">
      <alignment horizontal="center" vertical="center"/>
    </xf>
    <xf numFmtId="0" fontId="2" fillId="298" borderId="0" xfId="0" applyFont="1" applyFill="1" applyAlignment="1">
      <alignment horizontal="center" vertical="center"/>
    </xf>
    <xf numFmtId="0" fontId="2" fillId="299" borderId="0" xfId="0" applyFont="1" applyFill="1" applyAlignment="1">
      <alignment horizontal="center" vertical="center"/>
    </xf>
    <xf numFmtId="0" fontId="2" fillId="300" borderId="0" xfId="0" applyFont="1" applyFill="1" applyAlignment="1">
      <alignment horizontal="center" vertical="center"/>
    </xf>
    <xf numFmtId="0" fontId="2" fillId="301" borderId="0" xfId="0" applyFont="1" applyFill="1" applyAlignment="1">
      <alignment horizontal="center" vertical="center"/>
    </xf>
    <xf numFmtId="0" fontId="2" fillId="302" borderId="0" xfId="0" applyFont="1" applyFill="1" applyAlignment="1">
      <alignment horizontal="center" vertical="center"/>
    </xf>
    <xf numFmtId="0" fontId="2" fillId="303" borderId="0" xfId="0" applyFont="1" applyFill="1" applyAlignment="1">
      <alignment horizontal="center" vertical="center"/>
    </xf>
    <xf numFmtId="0" fontId="2" fillId="304" borderId="0" xfId="0" applyFont="1" applyFill="1" applyAlignment="1">
      <alignment horizontal="center" vertical="center"/>
    </xf>
    <xf numFmtId="0" fontId="2" fillId="305" borderId="0" xfId="0" applyFont="1" applyFill="1" applyAlignment="1">
      <alignment horizontal="center" vertical="center"/>
    </xf>
    <xf numFmtId="0" fontId="2" fillId="306" borderId="0" xfId="0" applyFont="1" applyFill="1" applyAlignment="1">
      <alignment horizontal="center" vertical="center"/>
    </xf>
    <xf numFmtId="0" fontId="2" fillId="307" borderId="0" xfId="0" applyFont="1" applyFill="1" applyAlignment="1">
      <alignment horizontal="center" vertical="center"/>
    </xf>
    <xf numFmtId="0" fontId="2" fillId="308" borderId="0" xfId="0" applyFont="1" applyFill="1" applyAlignment="1">
      <alignment horizontal="center" vertical="center"/>
    </xf>
    <xf numFmtId="0" fontId="2" fillId="309" borderId="0" xfId="0" applyFont="1" applyFill="1" applyAlignment="1">
      <alignment horizontal="center" vertical="center"/>
    </xf>
    <xf numFmtId="0" fontId="2" fillId="310" borderId="0" xfId="0" applyFont="1" applyFill="1" applyAlignment="1">
      <alignment horizontal="center" vertical="center"/>
    </xf>
    <xf numFmtId="0" fontId="2" fillId="311" borderId="0" xfId="0" applyFont="1" applyFill="1" applyAlignment="1">
      <alignment horizontal="center" vertical="center"/>
    </xf>
    <xf numFmtId="0" fontId="2" fillId="312" borderId="0" xfId="0" applyFont="1" applyFill="1" applyAlignment="1">
      <alignment horizontal="center" vertical="center"/>
    </xf>
    <xf numFmtId="0" fontId="2" fillId="313" borderId="0" xfId="0" applyFont="1" applyFill="1" applyAlignment="1">
      <alignment horizontal="center" vertical="center"/>
    </xf>
    <xf numFmtId="0" fontId="2" fillId="314" borderId="0" xfId="0" applyFont="1" applyFill="1" applyAlignment="1">
      <alignment horizontal="center" vertical="center"/>
    </xf>
    <xf numFmtId="0" fontId="2" fillId="315" borderId="0" xfId="0" applyFont="1" applyFill="1" applyAlignment="1">
      <alignment horizontal="center" vertical="center"/>
    </xf>
    <xf numFmtId="0" fontId="2" fillId="316" borderId="0" xfId="0" applyFont="1" applyFill="1" applyAlignment="1">
      <alignment horizontal="center" vertical="center"/>
    </xf>
    <xf numFmtId="0" fontId="2" fillId="317" borderId="0" xfId="0" applyFont="1" applyFill="1" applyAlignment="1">
      <alignment horizontal="center" vertical="center"/>
    </xf>
    <xf numFmtId="0" fontId="2" fillId="318" borderId="0" xfId="0" applyFont="1" applyFill="1" applyAlignment="1">
      <alignment horizontal="center" vertical="center"/>
    </xf>
    <xf numFmtId="0" fontId="2" fillId="319" borderId="0" xfId="0" applyFont="1" applyFill="1" applyAlignment="1">
      <alignment horizontal="center" vertical="center"/>
    </xf>
    <xf numFmtId="0" fontId="2" fillId="320" borderId="0" xfId="0" applyFont="1" applyFill="1" applyAlignment="1">
      <alignment horizontal="center" vertical="center"/>
    </xf>
    <xf numFmtId="0" fontId="2" fillId="321" borderId="0" xfId="0" applyFont="1" applyFill="1" applyAlignment="1">
      <alignment horizontal="center" vertical="center"/>
    </xf>
    <xf numFmtId="0" fontId="2" fillId="322" borderId="0" xfId="0" applyFont="1" applyFill="1" applyAlignment="1">
      <alignment horizontal="center" vertical="center"/>
    </xf>
    <xf numFmtId="0" fontId="2" fillId="323" borderId="0" xfId="0" applyFont="1" applyFill="1" applyAlignment="1">
      <alignment horizontal="center" vertical="center"/>
    </xf>
    <xf numFmtId="0" fontId="2" fillId="324" borderId="0" xfId="0" applyFont="1" applyFill="1" applyAlignment="1">
      <alignment horizontal="center" vertical="center"/>
    </xf>
    <xf numFmtId="0" fontId="2" fillId="325" borderId="0" xfId="0" applyFont="1" applyFill="1" applyAlignment="1">
      <alignment horizontal="center" vertical="center"/>
    </xf>
    <xf numFmtId="0" fontId="2" fillId="326" borderId="0" xfId="0" applyFont="1" applyFill="1" applyAlignment="1">
      <alignment horizontal="center" vertical="center"/>
    </xf>
    <xf numFmtId="0" fontId="2" fillId="327" borderId="0" xfId="0" applyFont="1" applyFill="1" applyAlignment="1">
      <alignment horizontal="center" vertical="center"/>
    </xf>
    <xf numFmtId="0" fontId="2" fillId="328" borderId="0" xfId="0" applyFont="1" applyFill="1" applyAlignment="1">
      <alignment horizontal="center" vertical="center"/>
    </xf>
    <xf numFmtId="0" fontId="2" fillId="329" borderId="0" xfId="0" applyFont="1" applyFill="1" applyAlignment="1">
      <alignment horizontal="center" vertical="center"/>
    </xf>
    <xf numFmtId="0" fontId="2" fillId="330" borderId="0" xfId="0" applyFont="1" applyFill="1" applyAlignment="1">
      <alignment horizontal="center" vertical="center"/>
    </xf>
    <xf numFmtId="0" fontId="2" fillId="331" borderId="0" xfId="0" applyFont="1" applyFill="1" applyAlignment="1">
      <alignment horizontal="center" vertical="center"/>
    </xf>
    <xf numFmtId="0" fontId="2" fillId="332" borderId="0" xfId="0" applyFont="1" applyFill="1" applyAlignment="1">
      <alignment horizontal="center" vertical="center"/>
    </xf>
    <xf numFmtId="0" fontId="2" fillId="333" borderId="0" xfId="0" applyFont="1" applyFill="1" applyAlignment="1">
      <alignment horizontal="center" vertical="center"/>
    </xf>
    <xf numFmtId="0" fontId="2" fillId="334" borderId="0" xfId="0" applyFont="1" applyFill="1" applyAlignment="1">
      <alignment horizontal="center" vertical="center"/>
    </xf>
    <xf numFmtId="0" fontId="2" fillId="335" borderId="0" xfId="0" applyFont="1" applyFill="1" applyAlignment="1">
      <alignment horizontal="center" vertical="center"/>
    </xf>
    <xf numFmtId="0" fontId="2" fillId="336" borderId="0" xfId="0" applyFont="1" applyFill="1" applyAlignment="1">
      <alignment horizontal="center" vertical="center"/>
    </xf>
    <xf numFmtId="0" fontId="2" fillId="337" borderId="0" xfId="0" applyFont="1" applyFill="1" applyAlignment="1">
      <alignment horizontal="center" vertical="center"/>
    </xf>
    <xf numFmtId="0" fontId="2" fillId="338" borderId="0" xfId="0" applyFont="1" applyFill="1" applyAlignment="1">
      <alignment horizontal="center" vertical="center"/>
    </xf>
    <xf numFmtId="0" fontId="2" fillId="339" borderId="0" xfId="0" applyFont="1" applyFill="1" applyAlignment="1">
      <alignment horizontal="center" vertical="center"/>
    </xf>
    <xf numFmtId="0" fontId="2" fillId="340" borderId="0" xfId="0" applyFont="1" applyFill="1" applyAlignment="1">
      <alignment horizontal="center" vertical="center"/>
    </xf>
    <xf numFmtId="0" fontId="2" fillId="341" borderId="0" xfId="0" applyFont="1" applyFill="1" applyAlignment="1">
      <alignment horizontal="center" vertical="center"/>
    </xf>
    <xf numFmtId="0" fontId="2" fillId="342" borderId="0" xfId="0" applyFont="1" applyFill="1" applyAlignment="1">
      <alignment horizontal="center" vertical="center"/>
    </xf>
    <xf numFmtId="0" fontId="2" fillId="343" borderId="0" xfId="0" applyFont="1" applyFill="1" applyAlignment="1">
      <alignment horizontal="center" vertical="center"/>
    </xf>
    <xf numFmtId="0" fontId="2" fillId="344" borderId="0" xfId="0" applyFont="1" applyFill="1" applyAlignment="1">
      <alignment horizontal="center" vertical="center"/>
    </xf>
    <xf numFmtId="0" fontId="2" fillId="345" borderId="0" xfId="0" applyFont="1" applyFill="1" applyAlignment="1">
      <alignment horizontal="center" vertical="center"/>
    </xf>
    <xf numFmtId="0" fontId="2" fillId="346" borderId="0" xfId="0" applyFont="1" applyFill="1" applyAlignment="1">
      <alignment horizontal="center" vertical="center"/>
    </xf>
    <xf numFmtId="0" fontId="2" fillId="347" borderId="0" xfId="0" applyFont="1" applyFill="1" applyAlignment="1">
      <alignment horizontal="center" vertical="center"/>
    </xf>
    <xf numFmtId="0" fontId="2" fillId="348" borderId="0" xfId="0" applyFont="1" applyFill="1" applyAlignment="1">
      <alignment horizontal="center" vertical="center"/>
    </xf>
    <xf numFmtId="0" fontId="2" fillId="349" borderId="0" xfId="0" applyFont="1" applyFill="1" applyAlignment="1">
      <alignment horizontal="center" vertical="center"/>
    </xf>
    <xf numFmtId="0" fontId="2" fillId="350" borderId="0" xfId="0" applyFont="1" applyFill="1" applyAlignment="1">
      <alignment horizontal="center" vertical="center"/>
    </xf>
    <xf numFmtId="0" fontId="2" fillId="351" borderId="0" xfId="0" applyFont="1" applyFill="1" applyAlignment="1">
      <alignment horizontal="center" vertical="center"/>
    </xf>
    <xf numFmtId="0" fontId="2" fillId="352" borderId="0" xfId="0" applyFont="1" applyFill="1" applyAlignment="1">
      <alignment horizontal="center" vertical="center"/>
    </xf>
    <xf numFmtId="0" fontId="2" fillId="353" borderId="0" xfId="0" applyFont="1" applyFill="1" applyAlignment="1">
      <alignment horizontal="center" vertical="center"/>
    </xf>
    <xf numFmtId="0" fontId="2" fillId="354" borderId="0" xfId="0" applyFont="1" applyFill="1" applyAlignment="1">
      <alignment horizontal="center" vertical="center"/>
    </xf>
    <xf numFmtId="0" fontId="2" fillId="355" borderId="0" xfId="0" applyFont="1" applyFill="1" applyAlignment="1">
      <alignment horizontal="center" vertical="center"/>
    </xf>
    <xf numFmtId="0" fontId="2" fillId="356" borderId="0" xfId="0" applyFont="1" applyFill="1" applyAlignment="1">
      <alignment horizontal="center" vertical="center"/>
    </xf>
    <xf numFmtId="0" fontId="2" fillId="357" borderId="0" xfId="0" applyFont="1" applyFill="1" applyAlignment="1">
      <alignment horizontal="center" vertical="center"/>
    </xf>
    <xf numFmtId="0" fontId="2" fillId="358" borderId="0" xfId="0" applyFont="1" applyFill="1" applyAlignment="1">
      <alignment horizontal="center" vertical="center"/>
    </xf>
    <xf numFmtId="0" fontId="2" fillId="359" borderId="0" xfId="0" applyFont="1" applyFill="1" applyAlignment="1">
      <alignment horizontal="center" vertical="center"/>
    </xf>
    <xf numFmtId="0" fontId="2" fillId="360" borderId="0" xfId="0" applyFont="1" applyFill="1" applyAlignment="1">
      <alignment horizontal="center" vertical="center"/>
    </xf>
    <xf numFmtId="0" fontId="2" fillId="361" borderId="0" xfId="0" applyFont="1" applyFill="1" applyAlignment="1">
      <alignment horizontal="center" vertical="center"/>
    </xf>
    <xf numFmtId="0" fontId="2" fillId="362" borderId="0" xfId="0" applyFont="1" applyFill="1" applyAlignment="1">
      <alignment horizontal="center" vertical="center"/>
    </xf>
    <xf numFmtId="0" fontId="2" fillId="363" borderId="0" xfId="0" applyFont="1" applyFill="1" applyAlignment="1">
      <alignment horizontal="center" vertical="center"/>
    </xf>
    <xf numFmtId="0" fontId="2" fillId="364" borderId="0" xfId="0" applyFont="1" applyFill="1" applyAlignment="1">
      <alignment horizontal="center" vertical="center"/>
    </xf>
    <xf numFmtId="0" fontId="2" fillId="365" borderId="0" xfId="0" applyFont="1" applyFill="1" applyAlignment="1">
      <alignment horizontal="center" vertical="center"/>
    </xf>
    <xf numFmtId="0" fontId="2" fillId="366" borderId="0" xfId="0" applyFont="1" applyFill="1" applyAlignment="1">
      <alignment horizontal="center" vertical="center"/>
    </xf>
    <xf numFmtId="0" fontId="2" fillId="367" borderId="0" xfId="0" applyFont="1" applyFill="1" applyAlignment="1">
      <alignment horizontal="center" vertical="center"/>
    </xf>
    <xf numFmtId="0" fontId="2" fillId="368" borderId="0" xfId="0" applyFont="1" applyFill="1" applyAlignment="1">
      <alignment horizontal="center" vertical="center"/>
    </xf>
    <xf numFmtId="0" fontId="2" fillId="369" borderId="0" xfId="0" applyFont="1" applyFill="1" applyAlignment="1">
      <alignment horizontal="center" vertical="center"/>
    </xf>
    <xf numFmtId="0" fontId="2" fillId="370" borderId="0" xfId="0" applyFont="1" applyFill="1" applyAlignment="1">
      <alignment horizontal="center" vertical="center"/>
    </xf>
    <xf numFmtId="0" fontId="2" fillId="371" borderId="0" xfId="0" applyFont="1" applyFill="1" applyAlignment="1">
      <alignment horizontal="center" vertical="center"/>
    </xf>
    <xf numFmtId="0" fontId="2" fillId="372" borderId="0" xfId="0" applyFont="1" applyFill="1" applyAlignment="1">
      <alignment horizontal="center" vertical="center"/>
    </xf>
    <xf numFmtId="0" fontId="2" fillId="373" borderId="0" xfId="0" applyFont="1" applyFill="1" applyAlignment="1">
      <alignment horizontal="center" vertical="center"/>
    </xf>
    <xf numFmtId="0" fontId="2" fillId="374" borderId="0" xfId="0" applyFont="1" applyFill="1" applyAlignment="1">
      <alignment horizontal="center" vertical="center"/>
    </xf>
    <xf numFmtId="0" fontId="2" fillId="375" borderId="0" xfId="0" applyFont="1" applyFill="1" applyAlignment="1">
      <alignment horizontal="center" vertical="center"/>
    </xf>
    <xf numFmtId="0" fontId="2" fillId="376" borderId="0" xfId="0" applyFont="1" applyFill="1" applyAlignment="1">
      <alignment horizontal="center" vertical="center"/>
    </xf>
    <xf numFmtId="0" fontId="2" fillId="377" borderId="0" xfId="0" applyFont="1" applyFill="1" applyAlignment="1">
      <alignment horizontal="center" vertical="center"/>
    </xf>
    <xf numFmtId="0" fontId="2" fillId="378" borderId="0" xfId="0" applyFont="1" applyFill="1" applyAlignment="1">
      <alignment horizontal="center" vertical="center"/>
    </xf>
    <xf numFmtId="0" fontId="2" fillId="379" borderId="0" xfId="0" applyFont="1" applyFill="1" applyAlignment="1">
      <alignment horizontal="center" vertical="center"/>
    </xf>
    <xf numFmtId="0" fontId="2" fillId="380" borderId="0" xfId="0" applyFont="1" applyFill="1" applyAlignment="1">
      <alignment horizontal="center" vertical="center"/>
    </xf>
    <xf numFmtId="0" fontId="2" fillId="381" borderId="0" xfId="0" applyFont="1" applyFill="1" applyAlignment="1">
      <alignment horizontal="center" vertical="center"/>
    </xf>
    <xf numFmtId="0" fontId="2" fillId="382" borderId="0" xfId="0" applyFont="1" applyFill="1" applyAlignment="1">
      <alignment horizontal="center" vertical="center"/>
    </xf>
    <xf numFmtId="0" fontId="2" fillId="383" borderId="0" xfId="0" applyFont="1" applyFill="1" applyAlignment="1">
      <alignment horizontal="center" vertical="center"/>
    </xf>
    <xf numFmtId="0" fontId="2" fillId="384" borderId="0" xfId="0" applyFont="1" applyFill="1" applyAlignment="1">
      <alignment horizontal="center" vertical="center"/>
    </xf>
    <xf numFmtId="0" fontId="2" fillId="385" borderId="0" xfId="0" applyFont="1" applyFill="1" applyAlignment="1">
      <alignment horizontal="center" vertical="center"/>
    </xf>
    <xf numFmtId="0" fontId="2" fillId="386" borderId="0" xfId="0" applyFont="1" applyFill="1" applyAlignment="1">
      <alignment horizontal="center" vertical="center"/>
    </xf>
    <xf numFmtId="0" fontId="2" fillId="387" borderId="0" xfId="0" applyFont="1" applyFill="1" applyAlignment="1">
      <alignment horizontal="center" vertical="center"/>
    </xf>
    <xf numFmtId="0" fontId="2" fillId="388" borderId="0" xfId="0" applyFont="1" applyFill="1" applyAlignment="1">
      <alignment horizontal="center" vertical="center"/>
    </xf>
    <xf numFmtId="0" fontId="2" fillId="389" borderId="0" xfId="0" applyFont="1" applyFill="1" applyAlignment="1">
      <alignment horizontal="center" vertical="center"/>
    </xf>
    <xf numFmtId="0" fontId="2" fillId="390" borderId="0" xfId="0" applyFont="1" applyFill="1" applyAlignment="1">
      <alignment horizontal="center" vertical="center"/>
    </xf>
    <xf numFmtId="0" fontId="2" fillId="391" borderId="0" xfId="0" applyFont="1" applyFill="1" applyAlignment="1">
      <alignment horizontal="center" vertical="center"/>
    </xf>
    <xf numFmtId="0" fontId="2" fillId="392" borderId="0" xfId="0" applyFont="1" applyFill="1" applyAlignment="1">
      <alignment horizontal="center" vertical="center"/>
    </xf>
    <xf numFmtId="0" fontId="2" fillId="393" borderId="0" xfId="0" applyFont="1" applyFill="1" applyAlignment="1">
      <alignment horizontal="center" vertical="center"/>
    </xf>
    <xf numFmtId="0" fontId="2" fillId="394" borderId="0" xfId="0" applyFont="1" applyFill="1" applyAlignment="1">
      <alignment horizontal="center" vertical="center"/>
    </xf>
    <xf numFmtId="0" fontId="2" fillId="395" borderId="0" xfId="0" applyFont="1" applyFill="1" applyAlignment="1">
      <alignment horizontal="center" vertical="center"/>
    </xf>
    <xf numFmtId="0" fontId="2" fillId="396" borderId="0" xfId="0" applyFont="1" applyFill="1" applyAlignment="1">
      <alignment horizontal="center" vertical="center"/>
    </xf>
    <xf numFmtId="0" fontId="2" fillId="397" borderId="0" xfId="0" applyFont="1" applyFill="1" applyAlignment="1">
      <alignment horizontal="center" vertical="center"/>
    </xf>
    <xf numFmtId="0" fontId="2" fillId="398" borderId="0" xfId="0" applyFont="1" applyFill="1" applyAlignment="1">
      <alignment horizontal="center" vertical="center"/>
    </xf>
    <xf numFmtId="0" fontId="2" fillId="399" borderId="0" xfId="0" applyFont="1" applyFill="1" applyAlignment="1">
      <alignment horizontal="center" vertical="center"/>
    </xf>
    <xf numFmtId="0" fontId="2" fillId="400" borderId="0" xfId="0" applyFont="1" applyFill="1" applyAlignment="1">
      <alignment horizontal="center" vertical="center"/>
    </xf>
    <xf numFmtId="0" fontId="2" fillId="401" borderId="0" xfId="0" applyFont="1" applyFill="1" applyAlignment="1">
      <alignment horizontal="center" vertical="center"/>
    </xf>
    <xf numFmtId="0" fontId="2" fillId="402" borderId="0" xfId="0" applyFont="1" applyFill="1" applyAlignment="1">
      <alignment horizontal="center" vertical="center"/>
    </xf>
    <xf numFmtId="0" fontId="2" fillId="403" borderId="0" xfId="0" applyFont="1" applyFill="1" applyAlignment="1">
      <alignment horizontal="center" vertical="center"/>
    </xf>
    <xf numFmtId="0" fontId="2" fillId="404" borderId="0" xfId="0" applyFont="1" applyFill="1" applyAlignment="1">
      <alignment horizontal="center" vertical="center"/>
    </xf>
    <xf numFmtId="0" fontId="2" fillId="405" borderId="0" xfId="0" applyFont="1" applyFill="1" applyAlignment="1">
      <alignment horizontal="center" vertical="center"/>
    </xf>
    <xf numFmtId="0" fontId="2" fillId="406" borderId="0" xfId="0" applyFont="1" applyFill="1" applyAlignment="1">
      <alignment horizontal="center" vertical="center"/>
    </xf>
    <xf numFmtId="0" fontId="2" fillId="407" borderId="0" xfId="0" applyFont="1" applyFill="1" applyAlignment="1">
      <alignment horizontal="center" vertical="center"/>
    </xf>
    <xf numFmtId="0" fontId="2" fillId="408" borderId="0" xfId="0" applyFont="1" applyFill="1" applyAlignment="1">
      <alignment horizontal="center" vertical="center"/>
    </xf>
    <xf numFmtId="0" fontId="2" fillId="409" borderId="0" xfId="0" applyFont="1" applyFill="1" applyAlignment="1">
      <alignment horizontal="center" vertical="center"/>
    </xf>
    <xf numFmtId="0" fontId="2" fillId="410" borderId="0" xfId="0" applyFont="1" applyFill="1" applyAlignment="1">
      <alignment horizontal="center" vertical="center"/>
    </xf>
    <xf numFmtId="0" fontId="2" fillId="411" borderId="0" xfId="0" applyFont="1" applyFill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164" fontId="23" fillId="5" borderId="0" xfId="0" applyNumberFormat="1" applyFont="1" applyFill="1" applyAlignment="1">
      <alignment horizontal="center" vertical="center" wrapText="1"/>
    </xf>
    <xf numFmtId="0" fontId="23" fillId="5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 vertical="center" shrinkToFit="1"/>
    </xf>
    <xf numFmtId="0" fontId="19" fillId="5" borderId="0" xfId="0" applyFont="1" applyFill="1" applyAlignment="1">
      <alignment horizontal="center" vertical="center" shrinkToFit="1"/>
    </xf>
    <xf numFmtId="0" fontId="19" fillId="5" borderId="6" xfId="0" applyFont="1" applyFill="1" applyBorder="1" applyAlignment="1">
      <alignment horizontal="center" vertical="center" shrinkToFit="1"/>
    </xf>
    <xf numFmtId="164" fontId="11" fillId="5" borderId="16" xfId="0" applyNumberFormat="1" applyFont="1" applyFill="1" applyBorder="1" applyAlignment="1">
      <alignment horizontal="center" vertical="center"/>
    </xf>
    <xf numFmtId="164" fontId="11" fillId="5" borderId="17" xfId="0" applyNumberFormat="1" applyFont="1" applyFill="1" applyBorder="1" applyAlignment="1">
      <alignment horizontal="center" vertical="center"/>
    </xf>
    <xf numFmtId="164" fontId="11" fillId="5" borderId="18" xfId="0" applyNumberFormat="1" applyFont="1" applyFill="1" applyBorder="1" applyAlignment="1">
      <alignment horizontal="center" vertical="center"/>
    </xf>
    <xf numFmtId="164" fontId="12" fillId="5" borderId="19" xfId="0" applyNumberFormat="1" applyFont="1" applyFill="1" applyBorder="1" applyAlignment="1">
      <alignment horizontal="center" vertical="center"/>
    </xf>
    <xf numFmtId="164" fontId="12" fillId="5" borderId="20" xfId="0" applyNumberFormat="1" applyFont="1" applyFill="1" applyBorder="1" applyAlignment="1">
      <alignment horizontal="center" vertical="center"/>
    </xf>
    <xf numFmtId="164" fontId="12" fillId="5" borderId="21" xfId="0" applyNumberFormat="1" applyFont="1" applyFill="1" applyBorder="1" applyAlignment="1">
      <alignment horizontal="center" vertical="center"/>
    </xf>
    <xf numFmtId="49" fontId="21" fillId="5" borderId="0" xfId="0" applyNumberFormat="1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17" fillId="5" borderId="28" xfId="0" applyFont="1" applyFill="1" applyBorder="1" applyAlignment="1">
      <alignment horizontal="center"/>
    </xf>
    <xf numFmtId="0" fontId="17" fillId="5" borderId="29" xfId="0" applyFont="1" applyFill="1" applyBorder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464646"/>
      <color rgb="FFE68900"/>
      <color rgb="FF960000"/>
      <color rgb="FFFF9900"/>
      <color rgb="FF78787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38100</xdr:colOff>
      <xdr:row>5</xdr:row>
      <xdr:rowOff>66636</xdr:rowOff>
    </xdr:from>
    <xdr:to>
      <xdr:col>45</xdr:col>
      <xdr:colOff>266700</xdr:colOff>
      <xdr:row>7</xdr:row>
      <xdr:rowOff>300057</xdr:rowOff>
    </xdr:to>
    <xdr:pic>
      <xdr:nvPicPr>
        <xdr:cNvPr id="103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91675" y="685761"/>
          <a:ext cx="3686175" cy="671571"/>
        </a:xfrm>
        <a:prstGeom prst="rect">
          <a:avLst/>
        </a:prstGeom>
        <a:noFill/>
      </xdr:spPr>
    </xdr:pic>
    <xdr:clientData/>
  </xdr:twoCellAnchor>
  <xdr:twoCellAnchor editAs="oneCell">
    <xdr:from>
      <xdr:col>18</xdr:col>
      <xdr:colOff>0</xdr:colOff>
      <xdr:row>5</xdr:row>
      <xdr:rowOff>85725</xdr:rowOff>
    </xdr:from>
    <xdr:to>
      <xdr:col>29</xdr:col>
      <xdr:colOff>304800</xdr:colOff>
      <xdr:row>7</xdr:row>
      <xdr:rowOff>299620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91075" y="704850"/>
          <a:ext cx="3762375" cy="65204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3</xdr:col>
      <xdr:colOff>180975</xdr:colOff>
      <xdr:row>5</xdr:row>
      <xdr:rowOff>47625</xdr:rowOff>
    </xdr:to>
    <xdr:pic>
      <xdr:nvPicPr>
        <xdr:cNvPr id="103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"/>
          <a:ext cx="923925" cy="666749"/>
        </a:xfrm>
        <a:prstGeom prst="rect">
          <a:avLst/>
        </a:prstGeom>
        <a:noFill/>
      </xdr:spPr>
    </xdr:pic>
    <xdr:clientData/>
  </xdr:twoCellAnchor>
  <xdr:twoCellAnchor editAs="oneCell">
    <xdr:from>
      <xdr:col>44</xdr:col>
      <xdr:colOff>171450</xdr:colOff>
      <xdr:row>22</xdr:row>
      <xdr:rowOff>142875</xdr:rowOff>
    </xdr:from>
    <xdr:to>
      <xdr:col>48</xdr:col>
      <xdr:colOff>190500</xdr:colOff>
      <xdr:row>24</xdr:row>
      <xdr:rowOff>114300</xdr:rowOff>
    </xdr:to>
    <xdr:pic macro="[0]!buttonExit">
      <xdr:nvPicPr>
        <xdr:cNvPr id="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3296900" y="5915025"/>
          <a:ext cx="1323975" cy="428625"/>
        </a:xfrm>
        <a:prstGeom prst="rect">
          <a:avLst/>
        </a:prstGeom>
        <a:noFill/>
      </xdr:spPr>
    </xdr:pic>
    <xdr:clientData/>
  </xdr:twoCellAnchor>
  <xdr:twoCellAnchor editAs="oneCell">
    <xdr:from>
      <xdr:col>31</xdr:col>
      <xdr:colOff>95250</xdr:colOff>
      <xdr:row>22</xdr:row>
      <xdr:rowOff>152400</xdr:rowOff>
    </xdr:from>
    <xdr:to>
      <xdr:col>35</xdr:col>
      <xdr:colOff>307975</xdr:colOff>
      <xdr:row>24</xdr:row>
      <xdr:rowOff>133350</xdr:rowOff>
    </xdr:to>
    <xdr:pic macro="[0]!buttonCreate">
      <xdr:nvPicPr>
        <xdr:cNvPr id="1034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9353550" y="5994400"/>
          <a:ext cx="1349375" cy="444500"/>
        </a:xfrm>
        <a:prstGeom prst="rect">
          <a:avLst/>
        </a:prstGeom>
        <a:noFill/>
      </xdr:spPr>
    </xdr:pic>
    <xdr:clientData/>
  </xdr:twoCellAnchor>
  <xdr:twoCellAnchor editAs="oneCell">
    <xdr:from>
      <xdr:col>38</xdr:col>
      <xdr:colOff>19050</xdr:colOff>
      <xdr:row>22</xdr:row>
      <xdr:rowOff>152400</xdr:rowOff>
    </xdr:from>
    <xdr:to>
      <xdr:col>42</xdr:col>
      <xdr:colOff>85725</xdr:colOff>
      <xdr:row>24</xdr:row>
      <xdr:rowOff>114300</xdr:rowOff>
    </xdr:to>
    <xdr:pic macro="[0]!buttonCredits">
      <xdr:nvPicPr>
        <xdr:cNvPr id="103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1258550" y="5924550"/>
          <a:ext cx="1323975" cy="4191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119</xdr:col>
      <xdr:colOff>19050</xdr:colOff>
      <xdr:row>0</xdr:row>
      <xdr:rowOff>95250</xdr:rowOff>
    </xdr:from>
    <xdr:to>
      <xdr:col>123</xdr:col>
      <xdr:colOff>4009</xdr:colOff>
      <xdr:row>5</xdr:row>
      <xdr:rowOff>47624</xdr:rowOff>
    </xdr:to>
    <xdr:pic>
      <xdr:nvPicPr>
        <xdr:cNvPr id="2" name="LoadPi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688550" y="95250"/>
          <a:ext cx="1630403" cy="904874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game">
    <tabColor rgb="FF960000"/>
  </sheetPr>
  <dimension ref="A1:BI150"/>
  <sheetViews>
    <sheetView tabSelected="1" zoomScaleNormal="100" workbookViewId="0">
      <selection activeCell="B2" sqref="B2"/>
    </sheetView>
  </sheetViews>
  <sheetFormatPr baseColWidth="10" defaultColWidth="0" defaultRowHeight="15" zeroHeight="1"/>
  <cols>
    <col min="1" max="3" width="3.7109375" style="10" customWidth="1"/>
    <col min="4" max="4" width="5.140625" style="10" customWidth="1"/>
    <col min="5" max="16" width="4.7109375" style="10" customWidth="1"/>
    <col min="17" max="18" width="2.7109375" style="10" customWidth="1"/>
    <col min="19" max="30" width="4.7109375" style="10" customWidth="1"/>
    <col min="31" max="32" width="2.7109375" style="10" customWidth="1"/>
    <col min="33" max="45" width="4.7109375" style="10" customWidth="1"/>
    <col min="46" max="46" width="5.42578125" style="10" customWidth="1"/>
    <col min="47" max="49" width="4.7109375" style="10" customWidth="1"/>
    <col min="50" max="50" width="4.85546875" style="10" customWidth="1"/>
    <col min="51" max="51" width="2.42578125" style="10" customWidth="1"/>
    <col min="52" max="52" width="0" style="10" hidden="1" customWidth="1"/>
    <col min="53" max="16384" width="0" style="10" hidden="1"/>
  </cols>
  <sheetData>
    <row r="1" spans="1:61" ht="9.9499999999999993" customHeight="1">
      <c r="A1" s="39"/>
      <c r="B1" s="39"/>
      <c r="C1" s="39"/>
      <c r="D1" s="39"/>
      <c r="E1" s="40"/>
      <c r="F1" s="38"/>
      <c r="G1" s="38"/>
      <c r="H1" s="38"/>
      <c r="I1" s="38"/>
      <c r="J1" s="38"/>
      <c r="K1" s="38"/>
      <c r="L1" s="38"/>
      <c r="M1" s="38"/>
      <c r="N1" s="39"/>
      <c r="O1" s="16"/>
      <c r="P1" s="12"/>
      <c r="Q1" s="12"/>
      <c r="R1" s="12"/>
      <c r="S1" s="12"/>
      <c r="T1" s="12"/>
      <c r="U1" s="12"/>
      <c r="V1" s="12"/>
      <c r="W1" s="12"/>
      <c r="X1" s="12"/>
      <c r="Y1" s="12"/>
      <c r="Z1" s="28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23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</row>
    <row r="2" spans="1:61" ht="9.9499999999999993" customHeight="1">
      <c r="A2" s="39"/>
      <c r="B2" s="39"/>
      <c r="C2" s="39"/>
      <c r="D2" s="39"/>
      <c r="E2" s="38"/>
      <c r="F2" s="38"/>
      <c r="G2" s="38"/>
      <c r="H2" s="38"/>
      <c r="I2" s="38"/>
      <c r="J2" s="38"/>
      <c r="K2" s="38"/>
      <c r="L2" s="38"/>
      <c r="M2" s="38"/>
      <c r="N2" s="39"/>
      <c r="O2" s="16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66"/>
      <c r="AG2" s="66"/>
      <c r="AH2" s="66"/>
      <c r="AI2" s="529">
        <f>character!M2</f>
        <v>0</v>
      </c>
      <c r="AJ2" s="529"/>
      <c r="AK2" s="529"/>
      <c r="AL2" s="529"/>
      <c r="AM2" s="529"/>
      <c r="AN2" s="529"/>
      <c r="AO2" s="529"/>
      <c r="AP2" s="529"/>
      <c r="AQ2" s="529"/>
      <c r="AR2" s="529"/>
      <c r="AS2" s="529"/>
      <c r="AT2" s="529"/>
      <c r="AU2" s="66"/>
      <c r="AV2" s="66"/>
      <c r="AW2" s="66"/>
      <c r="AX2" s="23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</row>
    <row r="3" spans="1:61" ht="9.9499999999999993" customHeight="1">
      <c r="A3" s="39"/>
      <c r="B3" s="39"/>
      <c r="C3" s="39"/>
      <c r="D3" s="39"/>
      <c r="E3" s="38"/>
      <c r="F3" s="38"/>
      <c r="G3" s="38"/>
      <c r="H3" s="38"/>
      <c r="I3" s="38"/>
      <c r="J3" s="38"/>
      <c r="K3" s="38"/>
      <c r="L3" s="38"/>
      <c r="M3" s="38"/>
      <c r="N3" s="39"/>
      <c r="O3" s="1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66"/>
      <c r="AG3" s="66"/>
      <c r="AH3" s="66"/>
      <c r="AI3" s="529"/>
      <c r="AJ3" s="529"/>
      <c r="AK3" s="529"/>
      <c r="AL3" s="529"/>
      <c r="AM3" s="529"/>
      <c r="AN3" s="529"/>
      <c r="AO3" s="529"/>
      <c r="AP3" s="529"/>
      <c r="AQ3" s="529"/>
      <c r="AR3" s="529"/>
      <c r="AS3" s="529"/>
      <c r="AT3" s="529"/>
      <c r="AU3" s="66"/>
      <c r="AV3" s="66"/>
      <c r="AW3" s="66"/>
      <c r="AX3" s="23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</row>
    <row r="4" spans="1:61" ht="9.9499999999999993" customHeight="1">
      <c r="A4" s="39"/>
      <c r="B4" s="39"/>
      <c r="C4" s="39"/>
      <c r="D4" s="39"/>
      <c r="E4" s="39"/>
      <c r="F4" s="39"/>
      <c r="G4" s="39"/>
      <c r="H4" s="39"/>
      <c r="I4" s="38"/>
      <c r="J4" s="39"/>
      <c r="K4" s="39"/>
      <c r="L4" s="39"/>
      <c r="M4" s="39"/>
      <c r="N4" s="39"/>
      <c r="O4" s="1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66"/>
      <c r="AG4" s="66"/>
      <c r="AH4" s="66"/>
      <c r="AI4" s="529"/>
      <c r="AJ4" s="529"/>
      <c r="AK4" s="529"/>
      <c r="AL4" s="529"/>
      <c r="AM4" s="529"/>
      <c r="AN4" s="529"/>
      <c r="AO4" s="529"/>
      <c r="AP4" s="529"/>
      <c r="AQ4" s="529"/>
      <c r="AR4" s="529"/>
      <c r="AS4" s="529"/>
      <c r="AT4" s="529"/>
      <c r="AU4" s="66"/>
      <c r="AV4" s="66"/>
      <c r="AW4" s="66"/>
      <c r="AX4" s="23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</row>
    <row r="5" spans="1:61" ht="9.9499999999999993" customHeight="1">
      <c r="A5" s="39"/>
      <c r="B5" s="39"/>
      <c r="C5" s="39"/>
      <c r="D5" s="39"/>
      <c r="E5" s="39"/>
      <c r="F5" s="39"/>
      <c r="G5" s="39"/>
      <c r="H5" s="39"/>
      <c r="I5" s="38"/>
      <c r="J5" s="39"/>
      <c r="K5" s="39"/>
      <c r="L5" s="39"/>
      <c r="M5" s="39"/>
      <c r="N5" s="39"/>
      <c r="O5" s="1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66"/>
      <c r="AG5" s="66"/>
      <c r="AH5" s="66"/>
      <c r="AI5" s="66"/>
      <c r="AJ5" s="66"/>
      <c r="AK5" s="66"/>
      <c r="AL5" s="66"/>
      <c r="AM5" s="66"/>
      <c r="AN5" s="49" t="s">
        <v>212</v>
      </c>
      <c r="AO5" s="50">
        <f>character!M3</f>
        <v>1</v>
      </c>
      <c r="AP5" s="66"/>
      <c r="AQ5" s="66"/>
      <c r="AR5" s="66"/>
      <c r="AS5" s="66"/>
      <c r="AT5" s="66"/>
      <c r="AU5" s="66"/>
      <c r="AV5" s="66"/>
      <c r="AW5" s="66"/>
      <c r="AX5" s="23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</row>
    <row r="6" spans="1:61" ht="9.9499999999999993" customHeight="1">
      <c r="A6" s="39"/>
      <c r="B6" s="39"/>
      <c r="C6" s="39"/>
      <c r="D6" s="39"/>
      <c r="E6" s="39"/>
      <c r="F6" s="39"/>
      <c r="G6" s="39"/>
      <c r="H6" s="39"/>
      <c r="I6" s="38"/>
      <c r="J6" s="39"/>
      <c r="K6" s="39"/>
      <c r="L6" s="39"/>
      <c r="M6" s="39"/>
      <c r="N6" s="39"/>
      <c r="O6" s="16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23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</row>
    <row r="7" spans="1:61" ht="24.95" customHeight="1">
      <c r="A7" s="16"/>
      <c r="B7" s="16"/>
      <c r="C7" s="16"/>
      <c r="D7" s="534"/>
      <c r="E7" s="534"/>
      <c r="F7" s="534"/>
      <c r="G7" s="534"/>
      <c r="H7" s="534"/>
      <c r="I7" s="534"/>
      <c r="J7" s="534"/>
      <c r="K7" s="534"/>
      <c r="L7" s="534"/>
      <c r="M7" s="534"/>
      <c r="N7" s="534"/>
      <c r="O7" s="534"/>
      <c r="P7" s="534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23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</row>
    <row r="8" spans="1:61" ht="24.95" customHeight="1">
      <c r="A8" s="16"/>
      <c r="B8" s="16"/>
      <c r="C8" s="16"/>
      <c r="D8" s="534"/>
      <c r="E8" s="534"/>
      <c r="F8" s="534"/>
      <c r="G8" s="534"/>
      <c r="H8" s="534"/>
      <c r="I8" s="534"/>
      <c r="J8" s="534"/>
      <c r="K8" s="534"/>
      <c r="L8" s="534"/>
      <c r="M8" s="534"/>
      <c r="N8" s="534"/>
      <c r="O8" s="534"/>
      <c r="P8" s="534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23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</row>
    <row r="9" spans="1:61" ht="24.95" customHeight="1">
      <c r="A9" s="16"/>
      <c r="B9" s="16"/>
      <c r="C9" s="16"/>
      <c r="D9" s="11"/>
      <c r="E9" s="11"/>
      <c r="F9" s="79" t="str">
        <f>character!M2 &amp; ":  "</f>
        <v xml:space="preserve">:  </v>
      </c>
      <c r="G9" s="48"/>
      <c r="H9" s="11"/>
      <c r="I9" s="11"/>
      <c r="J9" s="11"/>
      <c r="K9" s="11"/>
      <c r="L9" s="11"/>
      <c r="M9" s="11"/>
      <c r="N9" s="11"/>
      <c r="O9" s="11"/>
      <c r="P9" s="11"/>
      <c r="Q9" s="73">
        <v>0</v>
      </c>
      <c r="R9" s="12"/>
      <c r="S9" s="12"/>
      <c r="T9" s="12"/>
      <c r="U9" s="12"/>
      <c r="V9" s="12"/>
      <c r="W9" s="12"/>
      <c r="X9" s="530"/>
      <c r="Y9" s="535"/>
      <c r="Z9" s="12"/>
      <c r="AA9" s="12"/>
      <c r="AB9" s="12"/>
      <c r="AC9" s="12"/>
      <c r="AD9" s="12"/>
      <c r="AE9" s="12"/>
      <c r="AF9" s="67"/>
      <c r="AG9" s="67"/>
      <c r="AH9" s="68" t="s">
        <v>90</v>
      </c>
      <c r="AI9" s="67"/>
      <c r="AJ9" s="67"/>
      <c r="AK9" s="67"/>
      <c r="AL9" s="67"/>
      <c r="AM9" s="67"/>
      <c r="AN9" s="69"/>
      <c r="AO9" s="69"/>
      <c r="AP9" s="67"/>
      <c r="AQ9" s="68" t="s">
        <v>91</v>
      </c>
      <c r="AR9" s="67"/>
      <c r="AS9" s="67"/>
      <c r="AT9" s="66"/>
      <c r="AU9" s="66"/>
      <c r="AV9" s="66"/>
      <c r="AW9" s="66"/>
      <c r="AX9" s="23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</row>
    <row r="10" spans="1:61" ht="24.95" customHeight="1">
      <c r="A10" s="16"/>
      <c r="B10" s="93"/>
      <c r="C10" s="92"/>
      <c r="D10" s="34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5"/>
      <c r="Q10" s="12"/>
      <c r="R10" s="12"/>
      <c r="S10" s="530"/>
      <c r="T10" s="535"/>
      <c r="U10" s="12"/>
      <c r="V10" s="12"/>
      <c r="W10" s="12"/>
      <c r="X10" s="536"/>
      <c r="Y10" s="537"/>
      <c r="Z10" s="76"/>
      <c r="AA10" s="12"/>
      <c r="AB10" s="12"/>
      <c r="AC10" s="12"/>
      <c r="AD10" s="12"/>
      <c r="AE10" s="12"/>
      <c r="AF10" s="67"/>
      <c r="AG10" s="517" t="s">
        <v>92</v>
      </c>
      <c r="AH10" s="517"/>
      <c r="AI10" s="517"/>
      <c r="AJ10" s="517"/>
      <c r="AK10" s="67"/>
      <c r="AL10" s="521">
        <f>character!N5</f>
        <v>4</v>
      </c>
      <c r="AM10" s="521"/>
      <c r="AN10" s="522"/>
      <c r="AO10" s="70"/>
      <c r="AP10" s="71" t="s">
        <v>102</v>
      </c>
      <c r="AQ10" s="67"/>
      <c r="AR10" s="67"/>
      <c r="AS10" s="67"/>
      <c r="AT10" s="66"/>
      <c r="AU10" s="521">
        <f>character!M17</f>
        <v>0</v>
      </c>
      <c r="AV10" s="521"/>
      <c r="AW10" s="522"/>
      <c r="AX10" s="23"/>
      <c r="AY10" s="12"/>
      <c r="AZ10" s="27"/>
      <c r="BA10" s="27"/>
      <c r="BB10" s="12"/>
      <c r="BC10" s="12"/>
      <c r="BD10" s="12"/>
      <c r="BE10" s="12"/>
      <c r="BF10" s="12"/>
      <c r="BG10" s="12"/>
      <c r="BH10" s="12"/>
      <c r="BI10" s="12"/>
    </row>
    <row r="11" spans="1:61" ht="24.95" customHeight="1">
      <c r="A11" s="16"/>
      <c r="B11" s="93"/>
      <c r="C11" s="92"/>
      <c r="D11" s="30"/>
      <c r="E11" s="514"/>
      <c r="F11" s="514"/>
      <c r="G11" s="514"/>
      <c r="H11" s="514"/>
      <c r="I11" s="514"/>
      <c r="J11" s="515"/>
      <c r="K11" s="515"/>
      <c r="L11" s="515"/>
      <c r="M11" s="515"/>
      <c r="N11" s="515"/>
      <c r="O11" s="515"/>
      <c r="P11" s="29"/>
      <c r="Q11" s="13"/>
      <c r="R11" s="13"/>
      <c r="S11" s="532"/>
      <c r="T11" s="538"/>
      <c r="U11" s="14"/>
      <c r="V11" s="14"/>
      <c r="W11" s="14"/>
      <c r="X11" s="14"/>
      <c r="Y11" s="13"/>
      <c r="Z11" s="77"/>
      <c r="AA11" s="102"/>
      <c r="AB11" s="12"/>
      <c r="AC11" s="12"/>
      <c r="AD11" s="12"/>
      <c r="AE11" s="12"/>
      <c r="AF11" s="67"/>
      <c r="AG11" s="71" t="s">
        <v>93</v>
      </c>
      <c r="AH11" s="67"/>
      <c r="AI11" s="67"/>
      <c r="AJ11" s="67"/>
      <c r="AK11" s="67"/>
      <c r="AL11" s="521">
        <f>character!M6</f>
        <v>28</v>
      </c>
      <c r="AM11" s="521"/>
      <c r="AN11" s="522"/>
      <c r="AO11" s="70"/>
      <c r="AP11" s="71" t="s">
        <v>103</v>
      </c>
      <c r="AQ11" s="67"/>
      <c r="AR11" s="67"/>
      <c r="AS11" s="67"/>
      <c r="AT11" s="66"/>
      <c r="AU11" s="521" t="str">
        <f>character!N18 &amp; "%"</f>
        <v>0%</v>
      </c>
      <c r="AV11" s="521"/>
      <c r="AW11" s="522"/>
      <c r="AX11" s="23"/>
      <c r="AY11" s="12"/>
      <c r="AZ11" s="27"/>
      <c r="BA11" s="27"/>
      <c r="BB11" s="12"/>
      <c r="BC11" s="12"/>
      <c r="BD11" s="12"/>
      <c r="BE11" s="12"/>
      <c r="BF11" s="12"/>
      <c r="BG11" s="12"/>
      <c r="BH11" s="12"/>
      <c r="BI11" s="12"/>
    </row>
    <row r="12" spans="1:61" ht="24.95" customHeight="1">
      <c r="A12" s="16"/>
      <c r="B12" s="93"/>
      <c r="C12" s="92"/>
      <c r="D12" s="30"/>
      <c r="E12" s="514"/>
      <c r="F12" s="514"/>
      <c r="G12" s="514"/>
      <c r="H12" s="514"/>
      <c r="I12" s="514"/>
      <c r="J12" s="515"/>
      <c r="K12" s="515"/>
      <c r="L12" s="515"/>
      <c r="M12" s="515"/>
      <c r="N12" s="515"/>
      <c r="O12" s="515"/>
      <c r="P12" s="29"/>
      <c r="Q12" s="13"/>
      <c r="R12" s="13"/>
      <c r="S12" s="532"/>
      <c r="T12" s="538"/>
      <c r="U12" s="14"/>
      <c r="V12" s="14"/>
      <c r="W12" s="14"/>
      <c r="X12" s="539"/>
      <c r="Y12" s="540"/>
      <c r="Z12" s="75"/>
      <c r="AA12" s="18"/>
      <c r="AB12" s="12"/>
      <c r="AC12" s="78"/>
      <c r="AD12" s="12"/>
      <c r="AE12" s="12"/>
      <c r="AF12" s="67"/>
      <c r="AG12" s="71" t="s">
        <v>94</v>
      </c>
      <c r="AH12" s="67"/>
      <c r="AI12" s="67"/>
      <c r="AJ12" s="67"/>
      <c r="AK12" s="67"/>
      <c r="AL12" s="521" t="str">
        <f>character!N7 &amp; "%"</f>
        <v>89%</v>
      </c>
      <c r="AM12" s="521"/>
      <c r="AN12" s="522"/>
      <c r="AO12" s="70"/>
      <c r="AP12" s="71" t="s">
        <v>110</v>
      </c>
      <c r="AQ12" s="67"/>
      <c r="AR12" s="67"/>
      <c r="AS12" s="67"/>
      <c r="AT12" s="66"/>
      <c r="AU12" s="521">
        <f>character!M19</f>
        <v>66</v>
      </c>
      <c r="AV12" s="521"/>
      <c r="AW12" s="522"/>
      <c r="AX12" s="23"/>
      <c r="AY12" s="12"/>
      <c r="AZ12" s="27"/>
      <c r="BA12" s="27"/>
      <c r="BB12" s="12"/>
      <c r="BC12" s="12"/>
      <c r="BD12" s="12"/>
      <c r="BE12" s="12"/>
      <c r="BF12" s="12"/>
      <c r="BG12" s="12"/>
      <c r="BH12" s="12"/>
      <c r="BI12" s="12"/>
    </row>
    <row r="13" spans="1:61" ht="24.95" customHeight="1">
      <c r="A13" s="16"/>
      <c r="B13" s="93"/>
      <c r="C13" s="92"/>
      <c r="D13" s="30"/>
      <c r="E13" s="514"/>
      <c r="F13" s="514"/>
      <c r="G13" s="514"/>
      <c r="H13" s="514"/>
      <c r="I13" s="514"/>
      <c r="J13" s="515"/>
      <c r="K13" s="515"/>
      <c r="L13" s="515"/>
      <c r="M13" s="515"/>
      <c r="N13" s="515"/>
      <c r="O13" s="515"/>
      <c r="P13" s="29"/>
      <c r="Q13" s="13"/>
      <c r="R13" s="13"/>
      <c r="S13" s="536"/>
      <c r="T13" s="537"/>
      <c r="U13" s="14"/>
      <c r="V13" s="114"/>
      <c r="W13" s="21"/>
      <c r="X13" s="541"/>
      <c r="Y13" s="542"/>
      <c r="Z13" s="75"/>
      <c r="AA13" s="115"/>
      <c r="AB13" s="75"/>
      <c r="AC13" s="12"/>
      <c r="AD13" s="12"/>
      <c r="AE13" s="12"/>
      <c r="AF13" s="67"/>
      <c r="AG13" s="71" t="s">
        <v>95</v>
      </c>
      <c r="AH13" s="67"/>
      <c r="AI13" s="67"/>
      <c r="AJ13" s="67"/>
      <c r="AK13" s="67"/>
      <c r="AL13" s="521" t="str">
        <f>character!M8 &amp; " - " &amp; character!N8</f>
        <v>2 - 8</v>
      </c>
      <c r="AM13" s="521"/>
      <c r="AN13" s="522"/>
      <c r="AO13" s="70"/>
      <c r="AP13" s="71" t="s">
        <v>104</v>
      </c>
      <c r="AQ13" s="67"/>
      <c r="AR13" s="67"/>
      <c r="AS13" s="67"/>
      <c r="AT13" s="66"/>
      <c r="AU13" s="521">
        <f>character!M20</f>
        <v>1</v>
      </c>
      <c r="AV13" s="521"/>
      <c r="AW13" s="522"/>
      <c r="AX13" s="23"/>
      <c r="AY13" s="12"/>
      <c r="AZ13" s="73" t="s">
        <v>237</v>
      </c>
      <c r="BA13" s="73">
        <f>character!L4</f>
        <v>525</v>
      </c>
      <c r="BB13" s="12"/>
      <c r="BC13" s="12"/>
      <c r="BD13" s="12"/>
      <c r="BE13" s="12"/>
      <c r="BF13" s="12"/>
      <c r="BG13" s="12"/>
      <c r="BH13" s="12"/>
      <c r="BI13" s="12"/>
    </row>
    <row r="14" spans="1:61" ht="24.95" customHeight="1">
      <c r="A14" s="518" t="s">
        <v>261</v>
      </c>
      <c r="B14" s="519"/>
      <c r="C14" s="519"/>
      <c r="D14" s="30"/>
      <c r="E14" s="514"/>
      <c r="F14" s="514"/>
      <c r="G14" s="514"/>
      <c r="H14" s="514"/>
      <c r="I14" s="514"/>
      <c r="J14" s="515"/>
      <c r="K14" s="515"/>
      <c r="L14" s="515"/>
      <c r="M14" s="515"/>
      <c r="N14" s="515"/>
      <c r="O14" s="515"/>
      <c r="P14" s="29"/>
      <c r="Q14" s="13"/>
      <c r="R14" s="13"/>
      <c r="S14" s="13"/>
      <c r="T14" s="14"/>
      <c r="U14" s="14"/>
      <c r="V14" s="22"/>
      <c r="W14" s="13"/>
      <c r="X14" s="543"/>
      <c r="Y14" s="544"/>
      <c r="Z14" s="75"/>
      <c r="AA14" s="18"/>
      <c r="AB14" s="12"/>
      <c r="AC14" s="12"/>
      <c r="AD14" s="12"/>
      <c r="AE14" s="12"/>
      <c r="AF14" s="67"/>
      <c r="AG14" s="71" t="s">
        <v>96</v>
      </c>
      <c r="AH14" s="67"/>
      <c r="AI14" s="67"/>
      <c r="AJ14" s="67"/>
      <c r="AK14" s="67"/>
      <c r="AL14" s="521" t="str">
        <f>character!M9 &amp; " - " &amp; character!N9</f>
        <v>2 - 8</v>
      </c>
      <c r="AM14" s="521"/>
      <c r="AN14" s="522"/>
      <c r="AO14" s="70"/>
      <c r="AP14" s="71" t="s">
        <v>109</v>
      </c>
      <c r="AQ14" s="67"/>
      <c r="AR14" s="67"/>
      <c r="AS14" s="67"/>
      <c r="AT14" s="66"/>
      <c r="AU14" s="521">
        <f>character!M21</f>
        <v>0</v>
      </c>
      <c r="AV14" s="521"/>
      <c r="AW14" s="522"/>
      <c r="AX14" s="23"/>
      <c r="AY14" s="12"/>
      <c r="AZ14" s="27"/>
      <c r="BA14" s="27"/>
      <c r="BB14" s="12"/>
      <c r="BC14" s="12"/>
      <c r="BD14" s="12"/>
      <c r="BE14" s="12"/>
      <c r="BF14" s="12"/>
      <c r="BG14" s="12"/>
      <c r="BH14" s="12"/>
      <c r="BI14" s="12"/>
    </row>
    <row r="15" spans="1:61" ht="24.95" customHeight="1">
      <c r="A15" s="519"/>
      <c r="B15" s="519"/>
      <c r="C15" s="519"/>
      <c r="D15" s="30"/>
      <c r="E15" s="514"/>
      <c r="F15" s="514"/>
      <c r="G15" s="514"/>
      <c r="H15" s="514"/>
      <c r="I15" s="514"/>
      <c r="J15" s="516"/>
      <c r="K15" s="515"/>
      <c r="L15" s="515"/>
      <c r="M15" s="515"/>
      <c r="N15" s="515"/>
      <c r="O15" s="515"/>
      <c r="P15" s="29"/>
      <c r="Q15" s="13"/>
      <c r="R15" s="13"/>
      <c r="S15" s="13"/>
      <c r="T15" s="14"/>
      <c r="U15" s="539"/>
      <c r="V15" s="540"/>
      <c r="W15" s="14"/>
      <c r="X15" s="22"/>
      <c r="Y15" s="22"/>
      <c r="Z15" s="12"/>
      <c r="AA15" s="530"/>
      <c r="AB15" s="531"/>
      <c r="AC15" s="75"/>
      <c r="AD15" s="12"/>
      <c r="AE15" s="12"/>
      <c r="AF15" s="67"/>
      <c r="AG15" s="517" t="s">
        <v>97</v>
      </c>
      <c r="AH15" s="517"/>
      <c r="AI15" s="517"/>
      <c r="AJ15" s="517"/>
      <c r="AK15" s="67"/>
      <c r="AL15" s="521" t="str">
        <f>character!M10 &amp; " - " &amp; character!N10</f>
        <v>0 - 0</v>
      </c>
      <c r="AM15" s="521"/>
      <c r="AN15" s="522"/>
      <c r="AO15" s="70"/>
      <c r="AP15" s="517" t="s">
        <v>105</v>
      </c>
      <c r="AQ15" s="517"/>
      <c r="AR15" s="517"/>
      <c r="AS15" s="517"/>
      <c r="AT15" s="66"/>
      <c r="AU15" s="521" t="str">
        <f>IF(character!M22&gt;character!M25,character!M25 &amp; "% (" &amp; character!M22 &amp; "%)",character!M22 &amp; "%")</f>
        <v>0%</v>
      </c>
      <c r="AV15" s="521"/>
      <c r="AW15" s="522"/>
      <c r="AX15" s="23"/>
      <c r="AY15" s="12"/>
      <c r="AZ15" s="27"/>
      <c r="BA15" s="27"/>
      <c r="BB15" s="12"/>
      <c r="BC15" s="12"/>
      <c r="BD15" s="12"/>
      <c r="BE15" s="12"/>
      <c r="BF15" s="12"/>
      <c r="BG15" s="12"/>
      <c r="BH15" s="12"/>
      <c r="BI15" s="12"/>
    </row>
    <row r="16" spans="1:61" ht="24.95" customHeight="1">
      <c r="A16" s="520"/>
      <c r="B16" s="520"/>
      <c r="C16" s="520"/>
      <c r="D16" s="30"/>
      <c r="E16" s="514"/>
      <c r="F16" s="514"/>
      <c r="G16" s="514"/>
      <c r="H16" s="514"/>
      <c r="I16" s="514"/>
      <c r="J16" s="516"/>
      <c r="K16" s="515"/>
      <c r="L16" s="515"/>
      <c r="M16" s="515"/>
      <c r="N16" s="515"/>
      <c r="O16" s="515"/>
      <c r="P16" s="29"/>
      <c r="Q16" s="13"/>
      <c r="R16" s="13"/>
      <c r="S16" s="13"/>
      <c r="T16" s="14"/>
      <c r="U16" s="541"/>
      <c r="V16" s="542"/>
      <c r="W16" s="13"/>
      <c r="X16" s="545"/>
      <c r="Y16" s="546"/>
      <c r="Z16" s="19"/>
      <c r="AA16" s="532"/>
      <c r="AB16" s="533"/>
      <c r="AC16" s="75"/>
      <c r="AD16" s="12"/>
      <c r="AE16" s="12"/>
      <c r="AF16" s="67"/>
      <c r="AG16" s="517" t="s">
        <v>98</v>
      </c>
      <c r="AH16" s="517"/>
      <c r="AI16" s="517"/>
      <c r="AJ16" s="517"/>
      <c r="AK16" s="67"/>
      <c r="AL16" s="521" t="str">
        <f>character!M11 &amp; " - " &amp; character!N11</f>
        <v>0 - 0</v>
      </c>
      <c r="AM16" s="521"/>
      <c r="AN16" s="522"/>
      <c r="AO16" s="70"/>
      <c r="AP16" s="517" t="s">
        <v>106</v>
      </c>
      <c r="AQ16" s="517"/>
      <c r="AR16" s="517"/>
      <c r="AS16" s="517"/>
      <c r="AT16" s="66"/>
      <c r="AU16" s="521" t="str">
        <f>IF(character!M23&gt;character!M26,character!M26 &amp; "% (" &amp; character!M23 &amp; "%)",character!M23 &amp; "%")</f>
        <v>0%</v>
      </c>
      <c r="AV16" s="521"/>
      <c r="AW16" s="522"/>
      <c r="AX16" s="23"/>
      <c r="AY16" s="12"/>
      <c r="AZ16" s="27"/>
      <c r="BA16" s="27"/>
      <c r="BB16" s="12"/>
      <c r="BC16" s="12"/>
      <c r="BD16" s="12"/>
      <c r="BE16" s="12"/>
      <c r="BF16" s="12"/>
      <c r="BG16" s="12"/>
      <c r="BH16" s="12"/>
      <c r="BI16" s="12"/>
    </row>
    <row r="17" spans="1:61" ht="24.95" customHeight="1" thickBot="1">
      <c r="A17" s="520"/>
      <c r="B17" s="520"/>
      <c r="C17" s="520"/>
      <c r="D17" s="30"/>
      <c r="E17" s="514"/>
      <c r="F17" s="514"/>
      <c r="G17" s="514"/>
      <c r="H17" s="514"/>
      <c r="I17" s="514"/>
      <c r="J17" s="514"/>
      <c r="K17" s="514"/>
      <c r="L17" s="514"/>
      <c r="M17" s="514"/>
      <c r="N17" s="514"/>
      <c r="O17" s="514"/>
      <c r="P17" s="29"/>
      <c r="Q17" s="13"/>
      <c r="R17" s="13"/>
      <c r="S17" s="13"/>
      <c r="T17" s="13"/>
      <c r="U17" s="22"/>
      <c r="V17" s="22"/>
      <c r="W17" s="13"/>
      <c r="X17" s="13"/>
      <c r="Y17" s="13"/>
      <c r="Z17" s="76"/>
      <c r="AA17" s="74"/>
      <c r="AB17" s="74"/>
      <c r="AC17" s="76"/>
      <c r="AD17" s="76"/>
      <c r="AE17" s="12"/>
      <c r="AF17" s="67"/>
      <c r="AG17" s="517" t="s">
        <v>99</v>
      </c>
      <c r="AH17" s="517"/>
      <c r="AI17" s="517"/>
      <c r="AJ17" s="517"/>
      <c r="AK17" s="67"/>
      <c r="AL17" s="521" t="str">
        <f>character!M12 &amp; " - " &amp; character!N12</f>
        <v>0 - 0</v>
      </c>
      <c r="AM17" s="521"/>
      <c r="AN17" s="522"/>
      <c r="AO17" s="70"/>
      <c r="AP17" s="517" t="s">
        <v>107</v>
      </c>
      <c r="AQ17" s="517"/>
      <c r="AR17" s="517"/>
      <c r="AS17" s="517"/>
      <c r="AT17" s="66"/>
      <c r="AU17" s="521" t="str">
        <f>IF(character!M24&gt;character!M27,character!M27 &amp; "% (" &amp; character!M24 &amp; "%)",character!M24 &amp; "%")</f>
        <v>0%</v>
      </c>
      <c r="AV17" s="521"/>
      <c r="AW17" s="522"/>
      <c r="AX17" s="23"/>
      <c r="AY17" s="12"/>
      <c r="AZ17" s="27"/>
      <c r="BA17" s="27"/>
      <c r="BB17" s="12"/>
      <c r="BC17" s="12"/>
      <c r="BD17" s="12"/>
      <c r="BE17" s="12"/>
      <c r="BF17" s="12"/>
      <c r="BG17" s="12"/>
      <c r="BH17" s="12"/>
      <c r="BI17" s="12"/>
    </row>
    <row r="18" spans="1:61" ht="24.95" customHeight="1">
      <c r="A18" s="16"/>
      <c r="B18" s="93"/>
      <c r="C18" s="92"/>
      <c r="D18" s="30"/>
      <c r="E18" s="514"/>
      <c r="F18" s="514"/>
      <c r="G18" s="514"/>
      <c r="H18" s="514"/>
      <c r="I18" s="514"/>
      <c r="J18" s="514"/>
      <c r="K18" s="514"/>
      <c r="L18" s="514"/>
      <c r="M18" s="514"/>
      <c r="N18" s="514"/>
      <c r="O18" s="514"/>
      <c r="P18" s="29"/>
      <c r="Q18" s="13"/>
      <c r="R18" s="13"/>
      <c r="S18" s="103"/>
      <c r="T18" s="104"/>
      <c r="U18" s="104"/>
      <c r="V18" s="104"/>
      <c r="W18" s="109"/>
      <c r="X18" s="109"/>
      <c r="Y18" s="109"/>
      <c r="Z18" s="109"/>
      <c r="AA18" s="104"/>
      <c r="AB18" s="97"/>
      <c r="AC18" s="104"/>
      <c r="AD18" s="98"/>
      <c r="AE18" s="24"/>
      <c r="AF18" s="67"/>
      <c r="AG18" s="71" t="s">
        <v>100</v>
      </c>
      <c r="AH18" s="67"/>
      <c r="AI18" s="67"/>
      <c r="AJ18" s="67"/>
      <c r="AK18" s="67"/>
      <c r="AL18" s="521" t="str">
        <f>character!M13 &amp; "%"</f>
        <v>10%</v>
      </c>
      <c r="AM18" s="521"/>
      <c r="AN18" s="522"/>
      <c r="AO18" s="70"/>
      <c r="AP18" s="517" t="s">
        <v>108</v>
      </c>
      <c r="AQ18" s="517"/>
      <c r="AR18" s="517"/>
      <c r="AS18" s="517"/>
      <c r="AT18" s="517"/>
      <c r="AU18" s="521" t="str">
        <f>"+" &amp; character!M28 &amp; "%"</f>
        <v>+0%</v>
      </c>
      <c r="AV18" s="521"/>
      <c r="AW18" s="522"/>
      <c r="AX18" s="23"/>
      <c r="AY18" s="12"/>
      <c r="AZ18" s="27"/>
      <c r="BA18" s="27"/>
      <c r="BB18" s="12"/>
      <c r="BC18" s="12"/>
      <c r="BD18" s="12"/>
      <c r="BE18" s="12"/>
      <c r="BF18" s="12"/>
      <c r="BG18" s="12"/>
      <c r="BH18" s="12"/>
      <c r="BI18" s="12"/>
    </row>
    <row r="19" spans="1:61" ht="24.95" customHeight="1">
      <c r="A19" s="16"/>
      <c r="B19" s="93"/>
      <c r="C19" s="92"/>
      <c r="D19" s="30"/>
      <c r="E19" s="514"/>
      <c r="F19" s="514"/>
      <c r="G19" s="514"/>
      <c r="H19" s="514"/>
      <c r="I19" s="514"/>
      <c r="J19" s="514"/>
      <c r="K19" s="514"/>
      <c r="L19" s="514"/>
      <c r="M19" s="514"/>
      <c r="N19" s="514"/>
      <c r="O19" s="514"/>
      <c r="P19" s="29"/>
      <c r="Q19" s="13"/>
      <c r="R19" s="13"/>
      <c r="S19" s="105"/>
      <c r="T19" s="106"/>
      <c r="U19" s="106"/>
      <c r="V19" s="106"/>
      <c r="W19" s="107"/>
      <c r="X19" s="107"/>
      <c r="Y19" s="107"/>
      <c r="Z19" s="107"/>
      <c r="AA19" s="99"/>
      <c r="AB19" s="99"/>
      <c r="AC19" s="99"/>
      <c r="AD19" s="100"/>
      <c r="AE19" s="24"/>
      <c r="AF19" s="67"/>
      <c r="AG19" s="71" t="s">
        <v>101</v>
      </c>
      <c r="AH19" s="67"/>
      <c r="AI19" s="67"/>
      <c r="AJ19" s="67"/>
      <c r="AK19" s="67"/>
      <c r="AL19" s="521" t="str">
        <f>character!M14 &amp; "%"</f>
        <v>150%</v>
      </c>
      <c r="AM19" s="521"/>
      <c r="AN19" s="522"/>
      <c r="AO19" s="70"/>
      <c r="AP19" s="71"/>
      <c r="AQ19" s="67"/>
      <c r="AR19" s="67"/>
      <c r="AS19" s="67"/>
      <c r="AT19" s="66"/>
      <c r="AU19" s="62"/>
      <c r="AV19" s="62"/>
      <c r="AW19" s="62"/>
      <c r="AX19" s="23"/>
      <c r="AY19" s="12"/>
      <c r="AZ19" s="27"/>
      <c r="BA19" s="27"/>
      <c r="BB19" s="12"/>
      <c r="BC19" s="12"/>
      <c r="BD19" s="12"/>
      <c r="BE19" s="12"/>
      <c r="BF19" s="12"/>
      <c r="BG19" s="12"/>
      <c r="BH19" s="12"/>
      <c r="BI19" s="12"/>
    </row>
    <row r="20" spans="1:61" ht="24.95" customHeight="1">
      <c r="A20" s="16"/>
      <c r="B20" s="93"/>
      <c r="C20" s="92"/>
      <c r="D20" s="30"/>
      <c r="E20" s="514"/>
      <c r="F20" s="514"/>
      <c r="G20" s="514"/>
      <c r="H20" s="514"/>
      <c r="I20" s="514"/>
      <c r="J20" s="514"/>
      <c r="K20" s="514"/>
      <c r="L20" s="514"/>
      <c r="M20" s="514"/>
      <c r="N20" s="514"/>
      <c r="O20" s="514"/>
      <c r="P20" s="29"/>
      <c r="Q20" s="13"/>
      <c r="R20" s="13"/>
      <c r="S20" s="105"/>
      <c r="T20" s="106"/>
      <c r="U20" s="106"/>
      <c r="V20" s="106"/>
      <c r="W20" s="107"/>
      <c r="X20" s="107"/>
      <c r="Y20" s="107"/>
      <c r="Z20" s="107"/>
      <c r="AA20" s="99"/>
      <c r="AB20" s="99"/>
      <c r="AC20" s="107"/>
      <c r="AD20" s="111"/>
      <c r="AE20" s="12"/>
      <c r="AF20" s="67"/>
      <c r="AG20" s="517" t="s">
        <v>152</v>
      </c>
      <c r="AH20" s="517"/>
      <c r="AI20" s="67"/>
      <c r="AJ20" s="67"/>
      <c r="AK20" s="67"/>
      <c r="AL20" s="521">
        <f>character!M15</f>
        <v>32</v>
      </c>
      <c r="AM20" s="521"/>
      <c r="AN20" s="522"/>
      <c r="AO20" s="70"/>
      <c r="AP20" s="71"/>
      <c r="AQ20" s="67"/>
      <c r="AR20" s="67"/>
      <c r="AS20" s="67"/>
      <c r="AT20" s="66"/>
      <c r="AU20" s="62"/>
      <c r="AV20" s="62"/>
      <c r="AW20" s="62"/>
      <c r="AX20" s="23"/>
      <c r="AY20" s="12"/>
      <c r="AZ20" s="27"/>
      <c r="BA20" s="27"/>
      <c r="BB20" s="12"/>
      <c r="BC20" s="12"/>
      <c r="BD20" s="12"/>
      <c r="BE20" s="12"/>
      <c r="BF20" s="12"/>
      <c r="BG20" s="12"/>
      <c r="BH20" s="12"/>
      <c r="BI20" s="12"/>
    </row>
    <row r="21" spans="1:61" ht="24.95" customHeight="1">
      <c r="A21" s="16"/>
      <c r="B21" s="93"/>
      <c r="C21" s="92"/>
      <c r="D21" s="30"/>
      <c r="E21" s="514"/>
      <c r="F21" s="514"/>
      <c r="G21" s="514"/>
      <c r="H21" s="514"/>
      <c r="I21" s="514"/>
      <c r="J21" s="514"/>
      <c r="K21" s="514"/>
      <c r="L21" s="514"/>
      <c r="M21" s="514"/>
      <c r="N21" s="514"/>
      <c r="O21" s="514"/>
      <c r="P21" s="29"/>
      <c r="Q21" s="13"/>
      <c r="R21" s="13"/>
      <c r="S21" s="105"/>
      <c r="T21" s="106"/>
      <c r="U21" s="106"/>
      <c r="V21" s="106"/>
      <c r="W21" s="107"/>
      <c r="X21" s="107"/>
      <c r="Y21" s="107"/>
      <c r="Z21" s="107"/>
      <c r="AA21" s="106"/>
      <c r="AB21" s="99"/>
      <c r="AC21" s="107"/>
      <c r="AD21" s="111"/>
      <c r="AE21" s="24"/>
      <c r="AF21" s="67"/>
      <c r="AG21" s="517" t="s">
        <v>153</v>
      </c>
      <c r="AH21" s="517"/>
      <c r="AI21" s="67"/>
      <c r="AJ21" s="67"/>
      <c r="AK21" s="67"/>
      <c r="AL21" s="521">
        <f>character!M16</f>
        <v>14</v>
      </c>
      <c r="AM21" s="521"/>
      <c r="AN21" s="522"/>
      <c r="AO21" s="69"/>
      <c r="AP21" s="71"/>
      <c r="AQ21" s="67"/>
      <c r="AR21" s="67"/>
      <c r="AS21" s="67"/>
      <c r="AT21" s="66"/>
      <c r="AU21" s="62"/>
      <c r="AV21" s="62"/>
      <c r="AW21" s="62"/>
      <c r="AX21" s="23"/>
      <c r="AY21" s="12"/>
      <c r="AZ21" s="27"/>
      <c r="BA21" s="27"/>
      <c r="BB21" s="12"/>
      <c r="BC21" s="12"/>
      <c r="BD21" s="12"/>
      <c r="BE21" s="12"/>
      <c r="BF21" s="12"/>
      <c r="BG21" s="12"/>
      <c r="BH21" s="12"/>
      <c r="BI21" s="12"/>
    </row>
    <row r="22" spans="1:61" ht="24.95" customHeight="1" thickBot="1">
      <c r="A22" s="16"/>
      <c r="B22" s="93"/>
      <c r="C22" s="92"/>
      <c r="D22" s="36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3"/>
      <c r="Q22" s="12"/>
      <c r="R22" s="15"/>
      <c r="S22" s="112"/>
      <c r="T22" s="108"/>
      <c r="U22" s="110"/>
      <c r="V22" s="110"/>
      <c r="W22" s="101"/>
      <c r="X22" s="101"/>
      <c r="Y22" s="108"/>
      <c r="Z22" s="108"/>
      <c r="AA22" s="101"/>
      <c r="AB22" s="101"/>
      <c r="AC22" s="108"/>
      <c r="AD22" s="113"/>
      <c r="AE22" s="24"/>
      <c r="AF22" s="67"/>
      <c r="AG22" s="71"/>
      <c r="AH22" s="67"/>
      <c r="AI22" s="67"/>
      <c r="AJ22" s="67"/>
      <c r="AK22" s="67"/>
      <c r="AL22" s="67"/>
      <c r="AM22" s="67"/>
      <c r="AN22" s="72"/>
      <c r="AO22" s="70"/>
      <c r="AP22" s="71"/>
      <c r="AQ22" s="67"/>
      <c r="AR22" s="67"/>
      <c r="AS22" s="67"/>
      <c r="AT22" s="66"/>
      <c r="AU22" s="62"/>
      <c r="AV22" s="62"/>
      <c r="AW22" s="62"/>
      <c r="AX22" s="23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</row>
    <row r="23" spans="1:61" ht="26.25" customHeight="1" thickBot="1">
      <c r="A23" s="16"/>
      <c r="B23" s="16"/>
      <c r="C23" s="73"/>
      <c r="D23" s="547" t="str">
        <f>"Level:  " &amp; character!M3 &amp; "        Experience    " &amp; character!J4 &amp; " / " &amp; character!L4</f>
        <v>Level:  1        Experience    0 / 525</v>
      </c>
      <c r="E23" s="547"/>
      <c r="F23" s="547"/>
      <c r="G23" s="547"/>
      <c r="H23" s="547"/>
      <c r="I23" s="547"/>
      <c r="J23" s="547"/>
      <c r="K23" s="547"/>
      <c r="L23" s="547"/>
      <c r="M23" s="547"/>
      <c r="N23" s="547"/>
      <c r="O23" s="547"/>
      <c r="P23" s="547"/>
      <c r="Q23" s="12"/>
      <c r="R23" s="12"/>
      <c r="S23" s="548" t="str">
        <f>"Life    " &amp; character!J19 &amp; " / " &amp; character!M19</f>
        <v>Life    66 / 66</v>
      </c>
      <c r="T23" s="548"/>
      <c r="U23" s="548"/>
      <c r="V23" s="548"/>
      <c r="W23" s="548"/>
      <c r="X23" s="548"/>
      <c r="Y23" s="548"/>
      <c r="Z23" s="548"/>
      <c r="AA23" s="548"/>
      <c r="AB23" s="548"/>
      <c r="AC23" s="548"/>
      <c r="AD23" s="548"/>
      <c r="AE23" s="12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2"/>
      <c r="AU23" s="12"/>
      <c r="AV23" s="12"/>
      <c r="AW23" s="12"/>
      <c r="AX23" s="23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</row>
    <row r="24" spans="1:61" ht="9.9499999999999993" customHeight="1" thickBot="1">
      <c r="A24" s="16"/>
      <c r="B24" s="16"/>
      <c r="C24" s="16"/>
      <c r="D24" s="523">
        <f>character!J4</f>
        <v>0</v>
      </c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5"/>
      <c r="Q24" s="12"/>
      <c r="R24" s="12"/>
      <c r="S24" s="526">
        <f>character!J19</f>
        <v>66</v>
      </c>
      <c r="T24" s="527"/>
      <c r="U24" s="527"/>
      <c r="V24" s="527"/>
      <c r="W24" s="527"/>
      <c r="X24" s="527"/>
      <c r="Y24" s="527"/>
      <c r="Z24" s="527"/>
      <c r="AA24" s="527"/>
      <c r="AB24" s="527"/>
      <c r="AC24" s="527"/>
      <c r="AD24" s="528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26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</row>
    <row r="25" spans="1:61">
      <c r="A25" s="37"/>
      <c r="B25" s="37"/>
      <c r="C25" s="37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20"/>
      <c r="R25" s="20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5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</row>
    <row r="26" spans="1:61" ht="116.25" customHeight="1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</row>
    <row r="27" spans="1:61" hidden="1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27"/>
      <c r="N27" s="16"/>
      <c r="O27" s="1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</row>
    <row r="28" spans="1:61" hidden="1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2"/>
      <c r="Q28" s="12"/>
      <c r="R28" s="12"/>
      <c r="S28" s="27"/>
      <c r="T28" s="27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</row>
    <row r="29" spans="1:61" hidden="1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</row>
    <row r="30" spans="1:61" hidden="1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</row>
    <row r="31" spans="1:61" hidden="1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</row>
    <row r="32" spans="1:61" hidden="1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</row>
    <row r="33" spans="1:61" hidden="1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</row>
    <row r="34" spans="1:61" hidden="1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</row>
    <row r="35" spans="1:61" hidden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</row>
    <row r="36" spans="1:61" hidden="1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</row>
    <row r="37" spans="1:61" hidden="1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</row>
    <row r="38" spans="1:61" hidden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</row>
    <row r="39" spans="1:61" hidden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</row>
    <row r="40" spans="1:61" hidden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</row>
    <row r="41" spans="1:61" hidden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</row>
    <row r="42" spans="1:61" hidden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</row>
    <row r="43" spans="1:61" hidden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</row>
    <row r="44" spans="1:61" hidden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</row>
    <row r="45" spans="1:61" hidden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</row>
    <row r="46" spans="1:61" hidden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</row>
    <row r="47" spans="1:61" hidden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</row>
    <row r="48" spans="1:61" hidden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</row>
    <row r="49" spans="1:61" hidden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</row>
    <row r="50" spans="1:61" hidden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</row>
    <row r="51" spans="1:61" hidden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</row>
    <row r="52" spans="1:61" hidden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</row>
    <row r="53" spans="1:61" hidden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</row>
    <row r="54" spans="1:61" hidden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</row>
    <row r="55" spans="1:61" hidden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</row>
    <row r="56" spans="1:61" hidden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</row>
    <row r="57" spans="1:61" hidden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</row>
    <row r="58" spans="1:61" hidden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</row>
    <row r="59" spans="1:61" hidden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</row>
    <row r="60" spans="1:61" hidden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</row>
    <row r="61" spans="1:61" hidden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</row>
    <row r="62" spans="1:61" hidden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</row>
    <row r="63" spans="1:61" hidden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</row>
    <row r="64" spans="1:61" hidden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</row>
    <row r="65" spans="1:61" hidden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</row>
    <row r="66" spans="1:61" hidden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</row>
    <row r="67" spans="1:61" hidden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</row>
    <row r="68" spans="1:61" hidden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</row>
    <row r="69" spans="1:61" hidden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</row>
    <row r="70" spans="1:61" hidden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</row>
    <row r="71" spans="1:61" hidden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</row>
    <row r="72" spans="1:61" hidden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</row>
    <row r="73" spans="1:61" hidden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</row>
    <row r="74" spans="1:61" hidden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</row>
    <row r="75" spans="1:61" hidden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</row>
    <row r="76" spans="1:61" hidden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</row>
    <row r="77" spans="1:61" hidden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</row>
    <row r="78" spans="1:61" hidden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</row>
    <row r="79" spans="1:61" hidden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</row>
    <row r="80" spans="1:61" hidden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</row>
    <row r="81" spans="1:61" hidden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</row>
    <row r="82" spans="1:61" hidden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</row>
    <row r="83" spans="1:61" hidden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</row>
    <row r="84" spans="1:61" hidden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</row>
    <row r="85" spans="1:61" hidden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</row>
    <row r="86" spans="1:61" hidden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</row>
    <row r="87" spans="1:61" hidden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</row>
    <row r="88" spans="1:61" hidden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</row>
    <row r="89" spans="1:61" hidden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</row>
    <row r="90" spans="1:61" hidden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</row>
    <row r="91" spans="1:61" hidden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</row>
    <row r="92" spans="1:61" hidden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</row>
    <row r="93" spans="1:61" hidden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</row>
    <row r="94" spans="1:61" hidden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</row>
    <row r="95" spans="1:61" hidden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</row>
    <row r="96" spans="1:61" hidden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</row>
    <row r="97" spans="1:61" hidden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</row>
    <row r="98" spans="1:61" hidden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</row>
    <row r="99" spans="1:61" hidden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</row>
    <row r="100" spans="1:61" hidden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</row>
    <row r="101" spans="1:61" hidden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</row>
    <row r="102" spans="1:61" hidden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</row>
    <row r="103" spans="1:61" hidden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</row>
    <row r="104" spans="1:61" hidden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</row>
    <row r="105" spans="1:61" hidden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</row>
    <row r="106" spans="1:61" hidden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</row>
    <row r="107" spans="1:61" hidden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</row>
    <row r="108" spans="1:61" hidden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</row>
    <row r="109" spans="1:61" hidden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</row>
    <row r="110" spans="1:61" hidden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</row>
    <row r="111" spans="1:61" hidden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</row>
    <row r="112" spans="1:61" hidden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</row>
    <row r="113" spans="1:61" hidden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</row>
    <row r="114" spans="1:61" hidden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</row>
    <row r="115" spans="1:61" hidden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</row>
    <row r="116" spans="1:61" hidden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</row>
    <row r="117" spans="1:61" hidden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</row>
    <row r="118" spans="1:61" hidden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</row>
    <row r="119" spans="1:61" hidden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</row>
    <row r="120" spans="1:61" hidden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</row>
    <row r="121" spans="1:61" hidden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</row>
    <row r="122" spans="1:61" hidden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</row>
    <row r="123" spans="1:61" hidden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</row>
    <row r="124" spans="1:61" hidden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</row>
    <row r="125" spans="1:61" hidden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</row>
    <row r="126" spans="1:61" hidden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</row>
    <row r="127" spans="1:61" hidden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</row>
    <row r="128" spans="1:61" hidden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</row>
    <row r="129" spans="1:61" hidden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</row>
    <row r="130" spans="1:61" hidden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</row>
    <row r="131" spans="1:61" hidden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</row>
    <row r="132" spans="1:61" hidden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</row>
    <row r="133" spans="1:61" hidden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</row>
    <row r="134" spans="1:61" hidden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</row>
    <row r="135" spans="1:61" hidden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</row>
    <row r="136" spans="1:61" hidden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</row>
    <row r="137" spans="1:61" hidden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</row>
    <row r="138" spans="1:61" hidden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</row>
    <row r="139" spans="1:61" hidden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</row>
    <row r="140" spans="1:61" hidden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</row>
    <row r="141" spans="1:61" hidden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</row>
    <row r="142" spans="1:61" hidden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</row>
    <row r="143" spans="1:61" hidden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</row>
    <row r="144" spans="1:61" hidden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</row>
    <row r="145" spans="1:61" hidden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</row>
    <row r="146" spans="1:61" hidden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</row>
    <row r="147" spans="1:61" hidden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</row>
    <row r="148" spans="1:61" hidden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</row>
    <row r="149" spans="1:61" hidden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</row>
    <row r="150" spans="1:61" hidden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</row>
  </sheetData>
  <mergeCells count="46">
    <mergeCell ref="D24:P24"/>
    <mergeCell ref="S24:AD24"/>
    <mergeCell ref="AI2:AT4"/>
    <mergeCell ref="AA15:AB16"/>
    <mergeCell ref="D7:P8"/>
    <mergeCell ref="X9:Y10"/>
    <mergeCell ref="S10:T13"/>
    <mergeCell ref="X12:Y14"/>
    <mergeCell ref="U15:V16"/>
    <mergeCell ref="X16:Y16"/>
    <mergeCell ref="AG20:AH20"/>
    <mergeCell ref="AG21:AH21"/>
    <mergeCell ref="AP15:AS15"/>
    <mergeCell ref="AP16:AS16"/>
    <mergeCell ref="D23:P23"/>
    <mergeCell ref="S23:AD23"/>
    <mergeCell ref="AU13:AW13"/>
    <mergeCell ref="AU14:AW14"/>
    <mergeCell ref="AU18:AW18"/>
    <mergeCell ref="AL12:AN12"/>
    <mergeCell ref="AU15:AW15"/>
    <mergeCell ref="AU16:AW16"/>
    <mergeCell ref="AU17:AW17"/>
    <mergeCell ref="AL13:AN13"/>
    <mergeCell ref="AP17:AS17"/>
    <mergeCell ref="AP18:AT18"/>
    <mergeCell ref="AL14:AN14"/>
    <mergeCell ref="AL10:AN10"/>
    <mergeCell ref="AL11:AN11"/>
    <mergeCell ref="AU10:AW10"/>
    <mergeCell ref="AU11:AW11"/>
    <mergeCell ref="AU12:AW12"/>
    <mergeCell ref="AL20:AN20"/>
    <mergeCell ref="AL21:AN21"/>
    <mergeCell ref="AG15:AJ15"/>
    <mergeCell ref="AG16:AJ16"/>
    <mergeCell ref="AL19:AN19"/>
    <mergeCell ref="AL15:AN15"/>
    <mergeCell ref="AL16:AN16"/>
    <mergeCell ref="AL17:AN17"/>
    <mergeCell ref="AL18:AN18"/>
    <mergeCell ref="AG10:AJ10"/>
    <mergeCell ref="AG17:AJ17"/>
    <mergeCell ref="A14:C15"/>
    <mergeCell ref="A16:C16"/>
    <mergeCell ref="A17:C17"/>
  </mergeCells>
  <conditionalFormatting sqref="S24:AD24">
    <cfRule type="dataBar" priority="3">
      <dataBar>
        <cfvo type="num" val="0"/>
        <cfvo type="num" val="$AU$12"/>
        <color rgb="FF960000"/>
      </dataBar>
    </cfRule>
  </conditionalFormatting>
  <conditionalFormatting sqref="D24:P24">
    <cfRule type="dataBar" priority="2">
      <dataBar>
        <cfvo type="num" val="0"/>
        <cfvo type="num" val="$BA$13"/>
        <color rgb="FFE68900"/>
      </dataBar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char"/>
  <dimension ref="A1:V159"/>
  <sheetViews>
    <sheetView workbookViewId="0">
      <selection activeCell="L32" sqref="L32"/>
    </sheetView>
  </sheetViews>
  <sheetFormatPr baseColWidth="10" defaultRowHeight="15"/>
  <cols>
    <col min="3" max="3" width="30.28515625" customWidth="1"/>
    <col min="17" max="17" width="17.28515625" customWidth="1"/>
  </cols>
  <sheetData>
    <row r="1" spans="1:22">
      <c r="A1" t="s">
        <v>2</v>
      </c>
      <c r="C1" s="2"/>
      <c r="D1" s="56" t="s">
        <v>218</v>
      </c>
      <c r="E1" s="56" t="s">
        <v>219</v>
      </c>
      <c r="F1" s="57" t="s">
        <v>221</v>
      </c>
      <c r="G1" s="56" t="s">
        <v>217</v>
      </c>
      <c r="H1" s="56" t="s">
        <v>222</v>
      </c>
      <c r="I1" s="56" t="s">
        <v>223</v>
      </c>
      <c r="M1" s="58" t="s">
        <v>227</v>
      </c>
      <c r="N1" s="56" t="s">
        <v>228</v>
      </c>
      <c r="O1" s="81"/>
      <c r="P1" s="43"/>
      <c r="R1" s="51"/>
      <c r="S1" s="51"/>
      <c r="T1" s="51"/>
      <c r="U1" s="51"/>
    </row>
    <row r="2" spans="1:22">
      <c r="A2" t="s">
        <v>3</v>
      </c>
      <c r="B2" s="51"/>
      <c r="C2" s="54" t="s">
        <v>213</v>
      </c>
      <c r="D2" s="51"/>
      <c r="E2" s="51"/>
      <c r="F2" s="51"/>
      <c r="G2" s="51"/>
      <c r="H2" s="51"/>
      <c r="I2" s="51"/>
      <c r="J2" s="51"/>
      <c r="K2" s="51"/>
      <c r="L2" s="51"/>
      <c r="M2" s="96"/>
      <c r="N2" s="51"/>
      <c r="O2" s="52"/>
      <c r="P2" s="51"/>
      <c r="Q2" s="60" t="s">
        <v>235</v>
      </c>
      <c r="R2" s="51"/>
      <c r="S2" s="51"/>
      <c r="T2" s="51"/>
      <c r="U2" s="51"/>
    </row>
    <row r="3" spans="1:22">
      <c r="A3" t="s">
        <v>4</v>
      </c>
      <c r="B3" s="51"/>
      <c r="C3" s="54" t="s">
        <v>198</v>
      </c>
      <c r="D3" s="51"/>
      <c r="E3" s="51"/>
      <c r="F3" s="51"/>
      <c r="G3" s="51"/>
      <c r="H3" s="51"/>
      <c r="I3" s="51"/>
      <c r="J3" s="56" t="s">
        <v>232</v>
      </c>
      <c r="K3" s="56" t="s">
        <v>233</v>
      </c>
      <c r="L3" s="56" t="s">
        <v>231</v>
      </c>
      <c r="M3" s="52">
        <f>LOOKUP(K4,E60:E159,D60:D159)</f>
        <v>1</v>
      </c>
      <c r="N3" s="51"/>
      <c r="O3" s="52"/>
      <c r="P3" s="51"/>
      <c r="Q3" s="51"/>
      <c r="R3" s="51"/>
      <c r="S3" s="51"/>
      <c r="T3" s="51"/>
      <c r="U3" s="51"/>
    </row>
    <row r="4" spans="1:22">
      <c r="A4" t="s">
        <v>5</v>
      </c>
      <c r="B4" s="51"/>
      <c r="C4" s="54" t="s">
        <v>154</v>
      </c>
      <c r="D4" s="51"/>
      <c r="E4" s="51"/>
      <c r="F4" s="51"/>
      <c r="G4" s="51"/>
      <c r="H4" s="51"/>
      <c r="I4" s="51"/>
      <c r="J4" s="60">
        <v>0</v>
      </c>
      <c r="K4" s="60">
        <v>0</v>
      </c>
      <c r="L4" s="51">
        <f>LOOKUP(M3,D60:D159,F60:F159)</f>
        <v>525</v>
      </c>
      <c r="M4" s="52">
        <f>K4</f>
        <v>0</v>
      </c>
      <c r="N4" s="51"/>
      <c r="O4" s="52"/>
      <c r="P4" s="51"/>
      <c r="Q4" s="61" t="s">
        <v>236</v>
      </c>
      <c r="R4" s="51"/>
      <c r="S4" s="51"/>
      <c r="T4" s="51"/>
      <c r="U4" s="51"/>
    </row>
    <row r="5" spans="1:22">
      <c r="A5" t="s">
        <v>6</v>
      </c>
      <c r="B5" s="51"/>
      <c r="C5" s="54" t="s">
        <v>92</v>
      </c>
      <c r="E5" s="51"/>
      <c r="F5" s="51"/>
      <c r="G5" s="51"/>
      <c r="H5" s="51"/>
      <c r="I5" s="51"/>
      <c r="J5" s="51"/>
      <c r="K5" s="51"/>
      <c r="L5" s="51"/>
      <c r="M5" s="63">
        <f>(M8+N8)/2</f>
        <v>5</v>
      </c>
      <c r="N5" s="51">
        <f>INT((M5*(1-M13/100)+M5*M14/100*M13/100)*N7/100)</f>
        <v>4</v>
      </c>
      <c r="O5" s="52"/>
      <c r="P5" s="51"/>
      <c r="Q5" s="51"/>
      <c r="R5" s="51"/>
      <c r="S5" s="51"/>
      <c r="T5" s="51"/>
      <c r="U5" s="51"/>
    </row>
    <row r="6" spans="1:22">
      <c r="A6" t="s">
        <v>7</v>
      </c>
      <c r="B6" s="51"/>
      <c r="C6" s="54" t="s">
        <v>93</v>
      </c>
      <c r="D6" s="51">
        <v>0</v>
      </c>
      <c r="E6" s="51"/>
      <c r="F6" s="51">
        <f>2*(M3-1)</f>
        <v>0</v>
      </c>
      <c r="G6" s="51">
        <f>M16*2</f>
        <v>28</v>
      </c>
      <c r="H6" s="61">
        <f>items!X12</f>
        <v>0</v>
      </c>
      <c r="I6" s="51"/>
      <c r="J6" s="51"/>
      <c r="K6" s="51"/>
      <c r="L6" s="51"/>
      <c r="M6" s="52">
        <f>D6+F6+G6+H6</f>
        <v>28</v>
      </c>
      <c r="N6" s="51"/>
      <c r="O6" s="52"/>
      <c r="P6" s="51"/>
      <c r="Q6" s="51"/>
      <c r="R6" s="51"/>
      <c r="S6" s="51"/>
      <c r="T6" s="51"/>
      <c r="U6" s="51"/>
    </row>
    <row r="7" spans="1:22">
      <c r="A7" t="s">
        <v>8</v>
      </c>
      <c r="B7" s="51"/>
      <c r="C7" s="54" t="s">
        <v>94</v>
      </c>
      <c r="D7" s="51">
        <v>0</v>
      </c>
      <c r="E7" s="51"/>
      <c r="F7" s="51"/>
      <c r="G7" s="51"/>
      <c r="H7" s="51"/>
      <c r="I7" s="51"/>
      <c r="J7" s="51"/>
      <c r="K7" s="51"/>
      <c r="L7" s="51"/>
      <c r="M7" s="52">
        <f>INT((M6*1.15)/(M6+(map!DR20*0.25)^0.8)*100)</f>
        <v>89</v>
      </c>
      <c r="N7" s="51">
        <f>IF(M7&lt;5,5,IF(M7&gt;100,100,M7))</f>
        <v>89</v>
      </c>
      <c r="O7" s="82" t="s">
        <v>260</v>
      </c>
      <c r="P7" s="51"/>
      <c r="Q7" s="51"/>
      <c r="R7" s="51"/>
      <c r="S7" s="51"/>
      <c r="T7" s="51"/>
      <c r="U7" s="51"/>
    </row>
    <row r="8" spans="1:22">
      <c r="A8" s="1" t="s">
        <v>9</v>
      </c>
      <c r="B8" s="51"/>
      <c r="C8" s="54" t="s">
        <v>95</v>
      </c>
      <c r="D8" s="51"/>
      <c r="E8" s="51"/>
      <c r="F8" s="51"/>
      <c r="G8" s="51"/>
      <c r="H8" s="51"/>
      <c r="I8" s="51"/>
      <c r="J8" s="51"/>
      <c r="K8" s="51"/>
      <c r="L8" s="51"/>
      <c r="M8" s="52">
        <f>SUM(M9:M12)</f>
        <v>2</v>
      </c>
      <c r="N8" s="51">
        <f>SUM(N9:N12)</f>
        <v>8</v>
      </c>
      <c r="O8" s="58" t="s">
        <v>204</v>
      </c>
      <c r="Q8" s="56" t="s">
        <v>205</v>
      </c>
      <c r="S8" s="56" t="s">
        <v>206</v>
      </c>
      <c r="U8" s="56" t="s">
        <v>207</v>
      </c>
    </row>
    <row r="9" spans="1:22">
      <c r="A9" t="s">
        <v>10</v>
      </c>
      <c r="B9" s="51"/>
      <c r="C9" s="54" t="s">
        <v>96</v>
      </c>
      <c r="D9" s="51">
        <v>2</v>
      </c>
      <c r="E9" s="51">
        <v>8</v>
      </c>
      <c r="F9" s="51"/>
      <c r="G9" s="51"/>
      <c r="H9" s="61">
        <f>items!O12+items!AN3</f>
        <v>0</v>
      </c>
      <c r="I9" s="61">
        <f>items!P12+items!AO3</f>
        <v>0</v>
      </c>
      <c r="J9" s="51"/>
      <c r="K9" s="51"/>
      <c r="L9" s="51"/>
      <c r="M9" s="52">
        <f>INT(IF(D9&gt;H9,D9*(M29/100+1),H9)*(M29/100+1))</f>
        <v>2</v>
      </c>
      <c r="N9" s="59">
        <f>INT(IF(E9&gt;I9,E9*(N29/100+1),I9)*(M29/100+1))</f>
        <v>8</v>
      </c>
      <c r="O9" s="52"/>
      <c r="P9" s="51"/>
      <c r="Q9" s="51"/>
      <c r="R9" s="51"/>
      <c r="S9" s="51"/>
      <c r="T9" s="51"/>
      <c r="U9" s="51"/>
    </row>
    <row r="10" spans="1:22">
      <c r="A10" t="s">
        <v>11</v>
      </c>
      <c r="B10" s="51"/>
      <c r="C10" s="54" t="s">
        <v>97</v>
      </c>
      <c r="D10" s="51">
        <v>0</v>
      </c>
      <c r="E10" s="51">
        <v>0</v>
      </c>
      <c r="F10" s="51"/>
      <c r="G10" s="51"/>
      <c r="H10" s="61">
        <f>items!R12</f>
        <v>0</v>
      </c>
      <c r="I10" s="61">
        <f>items!S12</f>
        <v>0</v>
      </c>
      <c r="J10" s="51"/>
      <c r="K10" s="51"/>
      <c r="L10" s="51"/>
      <c r="M10" s="52">
        <f>INT((D10+H10)*(M30/100+1))</f>
        <v>0</v>
      </c>
      <c r="N10" s="59">
        <f>INT((E10+I10)*(M30/100+1))</f>
        <v>0</v>
      </c>
      <c r="O10" s="52">
        <f>INT(M10*(1-map!$DU$20/100))</f>
        <v>0</v>
      </c>
      <c r="P10" s="80">
        <f>INT(N10*(1-map!$DU$20/100))</f>
        <v>0</v>
      </c>
      <c r="Q10" s="51">
        <f>INT(M10*(1-map!$DU$21/100))</f>
        <v>0</v>
      </c>
      <c r="R10" s="80">
        <f>INT(N10*(1-map!$DU$21/100))</f>
        <v>0</v>
      </c>
      <c r="S10" s="51">
        <f>INT(M10*(1-map!$DU$22/100))</f>
        <v>0</v>
      </c>
      <c r="T10" s="80">
        <f>INT(N10*(1-map!$DU$22/100))</f>
        <v>0</v>
      </c>
      <c r="U10" s="51">
        <f>INT(M10*(1-map!$DU$23/100))</f>
        <v>0</v>
      </c>
      <c r="V10" s="80">
        <f>INT(N10*(1-map!$DU$23/100))</f>
        <v>0</v>
      </c>
    </row>
    <row r="11" spans="1:22">
      <c r="A11" t="s">
        <v>12</v>
      </c>
      <c r="B11" s="51"/>
      <c r="C11" s="54" t="s">
        <v>98</v>
      </c>
      <c r="D11" s="51">
        <v>0</v>
      </c>
      <c r="E11" s="51">
        <v>0</v>
      </c>
      <c r="F11" s="51"/>
      <c r="G11" s="51"/>
      <c r="H11" s="61">
        <f>items!T12</f>
        <v>0</v>
      </c>
      <c r="I11" s="61">
        <f>items!U12</f>
        <v>0</v>
      </c>
      <c r="J11" s="51"/>
      <c r="K11" s="51"/>
      <c r="L11" s="51"/>
      <c r="M11" s="52">
        <f>INT((D11+H11)*(M30/100+1))</f>
        <v>0</v>
      </c>
      <c r="N11" s="59">
        <f>INT((E11+I11)*(M30/100+1))</f>
        <v>0</v>
      </c>
      <c r="O11" s="52">
        <f>INT(M11*(1-map!$DV$20/100))</f>
        <v>0</v>
      </c>
      <c r="P11" s="80">
        <f>INT(N11*(1-map!$DV$20/100))</f>
        <v>0</v>
      </c>
      <c r="Q11" s="80">
        <f>INT(M11*(1-map!$DV$21/100))</f>
        <v>0</v>
      </c>
      <c r="R11" s="80">
        <f>INT(N11*(1-map!$DV$21/100))</f>
        <v>0</v>
      </c>
      <c r="S11" s="80">
        <f>INT(M11*(1-map!$DV$22/100))</f>
        <v>0</v>
      </c>
      <c r="T11" s="80">
        <f>INT(N11*(1-map!$DV$22/100))</f>
        <v>0</v>
      </c>
      <c r="U11" s="80">
        <f>INT(M11*(1-map!$DV$23/100))</f>
        <v>0</v>
      </c>
      <c r="V11" s="80">
        <f>INT(N11*(1-map!$DV$23/100))</f>
        <v>0</v>
      </c>
    </row>
    <row r="12" spans="1:22">
      <c r="A12" t="s">
        <v>13</v>
      </c>
      <c r="B12" s="51"/>
      <c r="C12" s="54" t="s">
        <v>99</v>
      </c>
      <c r="D12" s="51">
        <v>0</v>
      </c>
      <c r="E12" s="51">
        <v>0</v>
      </c>
      <c r="F12" s="51"/>
      <c r="G12" s="51"/>
      <c r="H12" s="61">
        <f>items!V12</f>
        <v>0</v>
      </c>
      <c r="I12" s="61">
        <f>items!W12</f>
        <v>0</v>
      </c>
      <c r="J12" s="51"/>
      <c r="K12" s="51"/>
      <c r="L12" s="51"/>
      <c r="M12" s="52">
        <f>INT((D12+H12)*(M30/100+1))</f>
        <v>0</v>
      </c>
      <c r="N12" s="59">
        <f>INT((E12+I12)*(M30/100+1))</f>
        <v>0</v>
      </c>
      <c r="O12" s="52">
        <f>INT(M12*(1-map!$DW$20/100))</f>
        <v>0</v>
      </c>
      <c r="P12" s="80">
        <f>INT(N12*(1-map!$DW$20/100))</f>
        <v>0</v>
      </c>
      <c r="Q12" s="80">
        <f>INT(M12*(1-map!$DW$21/100))</f>
        <v>0</v>
      </c>
      <c r="R12" s="80">
        <f>INT(N12*(1-map!$DW$21/100))</f>
        <v>0</v>
      </c>
      <c r="S12" s="80">
        <f>INT(M12*(1-map!$DW$22/100))</f>
        <v>0</v>
      </c>
      <c r="T12" s="80">
        <f>INT(N12*(1-map!$DW$22/100))</f>
        <v>0</v>
      </c>
      <c r="U12" s="80">
        <f>INT(M12*(1-map!$DW$23/100))</f>
        <v>0</v>
      </c>
      <c r="V12" s="80">
        <f>INT(N12*(1-map!$DW$23/100))</f>
        <v>0</v>
      </c>
    </row>
    <row r="13" spans="1:22">
      <c r="A13" t="s">
        <v>14</v>
      </c>
      <c r="B13" s="51"/>
      <c r="C13" s="54" t="s">
        <v>100</v>
      </c>
      <c r="D13" s="51">
        <v>10</v>
      </c>
      <c r="E13" s="51"/>
      <c r="F13" s="51"/>
      <c r="G13" s="51">
        <f>INT(M16/2.5)</f>
        <v>5</v>
      </c>
      <c r="H13" s="61">
        <f>items!Y12</f>
        <v>0</v>
      </c>
      <c r="I13" s="51"/>
      <c r="J13" s="51"/>
      <c r="K13" s="51"/>
      <c r="L13" s="51"/>
      <c r="M13" s="52">
        <f>INT(D13*((G13+H13)/100+1))</f>
        <v>10</v>
      </c>
      <c r="N13" s="83" t="s">
        <v>259</v>
      </c>
      <c r="O13" s="58">
        <f>$M$9+O10+O11+O12</f>
        <v>2</v>
      </c>
      <c r="P13" s="84">
        <f>$N$9+P10+P11+P12</f>
        <v>8</v>
      </c>
      <c r="Q13" s="84">
        <f>$M$9+Q10+Q11+Q12</f>
        <v>2</v>
      </c>
      <c r="R13" s="84">
        <f>$N$9+R10+R11+R12</f>
        <v>8</v>
      </c>
      <c r="S13" s="84">
        <f>$M$9+S10+S11+S12</f>
        <v>2</v>
      </c>
      <c r="T13" s="84">
        <f>$N$9+T10+T11+T12</f>
        <v>8</v>
      </c>
      <c r="U13" s="84">
        <f>$M$9+U10+U11+U12</f>
        <v>2</v>
      </c>
      <c r="V13" s="84">
        <f>$N$9+V10+V11+V12</f>
        <v>8</v>
      </c>
    </row>
    <row r="14" spans="1:22">
      <c r="A14" t="s">
        <v>15</v>
      </c>
      <c r="B14" s="51"/>
      <c r="C14" s="54" t="s">
        <v>101</v>
      </c>
      <c r="D14" s="51">
        <v>150</v>
      </c>
      <c r="E14" s="51"/>
      <c r="F14" s="51"/>
      <c r="G14" s="51"/>
      <c r="H14" s="61">
        <f>items!Z12</f>
        <v>0</v>
      </c>
      <c r="I14" s="51"/>
      <c r="J14" s="51"/>
      <c r="K14" s="51"/>
      <c r="L14" s="51"/>
      <c r="M14" s="52">
        <f>D14+H14</f>
        <v>150</v>
      </c>
      <c r="N14" s="51"/>
      <c r="O14" s="52"/>
      <c r="P14" s="51"/>
      <c r="Q14" s="51"/>
      <c r="R14" s="51"/>
      <c r="S14" s="51"/>
      <c r="T14" s="51"/>
      <c r="U14" s="51"/>
    </row>
    <row r="15" spans="1:22">
      <c r="A15" t="s">
        <v>16</v>
      </c>
      <c r="B15" s="51"/>
      <c r="C15" s="54" t="s">
        <v>152</v>
      </c>
      <c r="D15" s="51">
        <v>32</v>
      </c>
      <c r="E15" s="51"/>
      <c r="F15" s="51"/>
      <c r="G15" s="51"/>
      <c r="H15" s="61">
        <f>items!AI12</f>
        <v>0</v>
      </c>
      <c r="I15" s="51"/>
      <c r="J15" s="51"/>
      <c r="K15" s="51"/>
      <c r="L15" s="51"/>
      <c r="M15" s="52">
        <f>D15+H15</f>
        <v>32</v>
      </c>
      <c r="N15" s="51"/>
      <c r="O15" s="82" t="s">
        <v>256</v>
      </c>
      <c r="P15" s="51"/>
      <c r="Q15" s="59"/>
      <c r="R15" s="51"/>
      <c r="S15" s="51"/>
      <c r="T15" s="51"/>
      <c r="U15" s="51"/>
    </row>
    <row r="16" spans="1:22">
      <c r="A16" t="s">
        <v>17</v>
      </c>
      <c r="B16" s="51"/>
      <c r="C16" s="54" t="s">
        <v>153</v>
      </c>
      <c r="D16" s="51">
        <v>14</v>
      </c>
      <c r="E16" s="51"/>
      <c r="F16" s="51"/>
      <c r="G16" s="51"/>
      <c r="H16" s="61">
        <f>items!AJ12</f>
        <v>0</v>
      </c>
      <c r="I16" s="51"/>
      <c r="J16" s="51"/>
      <c r="K16" s="51"/>
      <c r="L16" s="51"/>
      <c r="M16" s="52">
        <f>D16+H16</f>
        <v>14</v>
      </c>
      <c r="N16" s="51"/>
      <c r="O16" s="58" t="s">
        <v>204</v>
      </c>
      <c r="P16" s="56" t="s">
        <v>205</v>
      </c>
      <c r="Q16" s="56" t="s">
        <v>206</v>
      </c>
      <c r="R16" s="56" t="s">
        <v>207</v>
      </c>
      <c r="S16" s="51"/>
      <c r="T16" s="51"/>
      <c r="U16" s="51"/>
    </row>
    <row r="17" spans="1:21">
      <c r="A17">
        <v>0</v>
      </c>
      <c r="B17" s="51"/>
      <c r="C17" s="54" t="s">
        <v>102</v>
      </c>
      <c r="D17" s="51">
        <v>0</v>
      </c>
      <c r="E17" s="51"/>
      <c r="F17" s="51"/>
      <c r="G17" s="51"/>
      <c r="H17" s="61">
        <f>SUM(items!AN4:AN8)</f>
        <v>0</v>
      </c>
      <c r="I17" s="51"/>
      <c r="J17" s="51"/>
      <c r="K17" s="51"/>
      <c r="L17" s="51"/>
      <c r="M17" s="52">
        <f>D17+H17</f>
        <v>0</v>
      </c>
      <c r="N17" s="51"/>
      <c r="O17" s="52">
        <f>INT((10*map!$DQ$20^2)/($M$17+10*map!$DQ$20))</f>
        <v>5</v>
      </c>
      <c r="P17" s="51">
        <f>INT((10*map!$DQ$21^2)/($M$17+10*map!$DQ$21))</f>
        <v>6</v>
      </c>
      <c r="Q17" s="51">
        <f>INT((10*map!$DQ$22^2)/($M$17+10*map!$DQ$22))</f>
        <v>7</v>
      </c>
      <c r="R17" s="51">
        <f>INT((10*map!$DQ$23^2)/($M$17+10*map!$DQ$23))</f>
        <v>8</v>
      </c>
      <c r="S17" s="51"/>
      <c r="T17" s="51"/>
      <c r="U17" s="51"/>
    </row>
    <row r="18" spans="1:21">
      <c r="A18">
        <v>1</v>
      </c>
      <c r="B18" s="51"/>
      <c r="C18" s="54" t="s">
        <v>103</v>
      </c>
      <c r="D18" s="51">
        <v>0</v>
      </c>
      <c r="E18" s="51"/>
      <c r="F18" s="51"/>
      <c r="G18" s="51"/>
      <c r="H18" s="51"/>
      <c r="I18" s="51"/>
      <c r="J18" s="56" t="s">
        <v>234</v>
      </c>
      <c r="K18" s="51"/>
      <c r="L18" s="51"/>
      <c r="M18" s="52">
        <f>INT((M17/(M17+10*map!DQ20))*100)</f>
        <v>0</v>
      </c>
      <c r="N18" s="51">
        <f>IF(M18&gt;95,95,M18)</f>
        <v>0</v>
      </c>
      <c r="O18" s="52"/>
      <c r="P18" s="51"/>
      <c r="Q18" s="51"/>
      <c r="R18" s="51"/>
      <c r="S18" s="51"/>
      <c r="T18" s="51"/>
      <c r="U18" s="51"/>
    </row>
    <row r="19" spans="1:21">
      <c r="A19">
        <v>2</v>
      </c>
      <c r="B19" s="51"/>
      <c r="C19" s="54" t="s">
        <v>110</v>
      </c>
      <c r="D19" s="51">
        <v>50</v>
      </c>
      <c r="E19" s="51"/>
      <c r="F19" s="51">
        <f>12*(M3-1)</f>
        <v>0</v>
      </c>
      <c r="G19" s="51">
        <f>INT(M15/2)</f>
        <v>16</v>
      </c>
      <c r="H19" s="61">
        <f>items!AF12</f>
        <v>0</v>
      </c>
      <c r="I19" s="51"/>
      <c r="J19" s="60">
        <v>66</v>
      </c>
      <c r="K19" s="51"/>
      <c r="L19" s="51"/>
      <c r="M19" s="52">
        <f>D19+F19+G19+H19</f>
        <v>66</v>
      </c>
      <c r="N19" s="51"/>
      <c r="O19" s="52"/>
      <c r="P19" s="51"/>
      <c r="Q19" s="51"/>
      <c r="R19" s="51"/>
      <c r="S19" s="51"/>
      <c r="T19" s="51"/>
      <c r="U19" s="51"/>
    </row>
    <row r="20" spans="1:21">
      <c r="A20">
        <v>3</v>
      </c>
      <c r="B20" s="51"/>
      <c r="C20" s="54" t="s">
        <v>104</v>
      </c>
      <c r="D20" s="80">
        <f>INT(1+M3/5)</f>
        <v>1</v>
      </c>
      <c r="E20" s="51"/>
      <c r="F20" s="51"/>
      <c r="G20" s="51"/>
      <c r="H20" s="61">
        <f>items!AG12</f>
        <v>0</v>
      </c>
      <c r="I20" s="51"/>
      <c r="J20" s="51"/>
      <c r="K20" s="51"/>
      <c r="L20" s="51"/>
      <c r="M20" s="52">
        <f>D20+H20</f>
        <v>1</v>
      </c>
      <c r="N20" s="51"/>
      <c r="O20" s="82" t="s">
        <v>257</v>
      </c>
      <c r="P20" s="51"/>
      <c r="Q20" s="51"/>
      <c r="R20" s="51"/>
      <c r="S20" s="51"/>
      <c r="T20" s="51"/>
      <c r="U20" s="51"/>
    </row>
    <row r="21" spans="1:21">
      <c r="A21">
        <v>4</v>
      </c>
      <c r="B21" s="51"/>
      <c r="C21" s="54" t="s">
        <v>109</v>
      </c>
      <c r="D21" s="51">
        <v>0</v>
      </c>
      <c r="E21" s="51"/>
      <c r="F21" s="51"/>
      <c r="G21" s="51"/>
      <c r="H21" s="61">
        <f>items!AH12</f>
        <v>0</v>
      </c>
      <c r="I21" s="51"/>
      <c r="J21" s="56" t="s">
        <v>230</v>
      </c>
      <c r="K21" s="51"/>
      <c r="L21" s="51"/>
      <c r="M21" s="52">
        <f>D21+H21</f>
        <v>0</v>
      </c>
      <c r="N21" s="51"/>
      <c r="O21" s="58" t="s">
        <v>204</v>
      </c>
      <c r="P21" s="56" t="s">
        <v>205</v>
      </c>
      <c r="Q21" s="56" t="s">
        <v>206</v>
      </c>
      <c r="R21" s="56" t="s">
        <v>207</v>
      </c>
      <c r="S21" s="51"/>
      <c r="T21" s="51"/>
      <c r="U21" s="51"/>
    </row>
    <row r="22" spans="1:21">
      <c r="A22">
        <v>5</v>
      </c>
      <c r="B22" s="51"/>
      <c r="C22" s="54" t="s">
        <v>105</v>
      </c>
      <c r="D22" s="51">
        <v>0</v>
      </c>
      <c r="E22" s="51"/>
      <c r="F22" s="51"/>
      <c r="G22" s="51"/>
      <c r="H22" s="61">
        <f>items!AC12</f>
        <v>0</v>
      </c>
      <c r="I22" s="51"/>
      <c r="J22" s="51">
        <f>IF(M3&gt;=50,IF(M3&gt;=70,60,30),0)</f>
        <v>0</v>
      </c>
      <c r="K22" s="51"/>
      <c r="L22" s="51"/>
      <c r="M22" s="52">
        <f>D22+H22-J22</f>
        <v>0</v>
      </c>
      <c r="N22" s="51">
        <f>IF(M22&gt;M25,M25,M22)</f>
        <v>0</v>
      </c>
      <c r="O22" s="52">
        <f>INT((map!$DQ$20*(map!$DX$20/100))*(1-$N$22/100))</f>
        <v>0</v>
      </c>
      <c r="P22" s="51">
        <f>INT((map!$DQ$21*(map!$DX$20/100))*(1-$N$22/100))</f>
        <v>0</v>
      </c>
      <c r="Q22" s="51">
        <f>INT((map!$DQ$22*(map!$DX$20/100))*(1-$N$22/100))</f>
        <v>0</v>
      </c>
      <c r="R22" s="51">
        <f>INT((map!$DQ$23*(map!$DX$20/100))*(1-$N$22/100))</f>
        <v>0</v>
      </c>
      <c r="S22" s="51"/>
      <c r="T22" s="51"/>
      <c r="U22" s="51"/>
    </row>
    <row r="23" spans="1:21">
      <c r="A23">
        <v>6</v>
      </c>
      <c r="B23" s="51"/>
      <c r="C23" s="54" t="s">
        <v>106</v>
      </c>
      <c r="D23" s="51">
        <v>0</v>
      </c>
      <c r="E23" s="51"/>
      <c r="F23" s="51"/>
      <c r="G23" s="51"/>
      <c r="H23" s="61">
        <f>items!AD12</f>
        <v>0</v>
      </c>
      <c r="I23" s="51"/>
      <c r="J23" s="51">
        <f>IF(M3&gt;=50,IF(M3&gt;=70,60,30),0)</f>
        <v>0</v>
      </c>
      <c r="K23" s="51"/>
      <c r="L23" s="51"/>
      <c r="M23" s="52">
        <f>D23+H23-J23</f>
        <v>0</v>
      </c>
      <c r="N23" s="51">
        <f>IF(M23&gt;M26,M26,M23)</f>
        <v>0</v>
      </c>
      <c r="O23" s="52">
        <f>INT((map!$DQ$20*(map!$DY$20/100))*(1-$N$23/100))</f>
        <v>0</v>
      </c>
      <c r="P23" s="51">
        <f>INT((map!$DQ$21*(map!$DY$20/100))*(1-$N$23/100))</f>
        <v>0</v>
      </c>
      <c r="Q23" s="51">
        <f>INT((map!$DQ$22*(map!$DY$20/100))*(1-$N$23/100))</f>
        <v>0</v>
      </c>
      <c r="R23" s="51">
        <f>INT((map!$DQ$23*(map!$DY$20/100))*(1-$N$23/100))</f>
        <v>0</v>
      </c>
      <c r="S23" s="51"/>
      <c r="T23" s="51"/>
      <c r="U23" s="51"/>
    </row>
    <row r="24" spans="1:21">
      <c r="A24">
        <v>7</v>
      </c>
      <c r="B24" s="51"/>
      <c r="C24" s="54" t="s">
        <v>107</v>
      </c>
      <c r="D24" s="51">
        <v>0</v>
      </c>
      <c r="E24" s="51"/>
      <c r="F24" s="51"/>
      <c r="G24" s="51"/>
      <c r="H24" s="61">
        <f>items!AE12</f>
        <v>0</v>
      </c>
      <c r="I24" s="51"/>
      <c r="J24" s="51">
        <f>IF(M3&gt;=50,IF(M3&gt;=70,60,30),0)</f>
        <v>0</v>
      </c>
      <c r="K24" s="51"/>
      <c r="L24" s="51"/>
      <c r="M24" s="52">
        <f>D24+H24-J24</f>
        <v>0</v>
      </c>
      <c r="N24" s="51">
        <f>IF(M24&gt;M27,M27,M24)</f>
        <v>0</v>
      </c>
      <c r="O24" s="52">
        <f>INT((map!$DQ$20*(map!$DZ$20/100))*(1-$N$24/100))</f>
        <v>0</v>
      </c>
      <c r="P24" s="51">
        <f>INT((map!$DQ$21*(map!$DZ$20/100))*(1-$N$24/100))</f>
        <v>0</v>
      </c>
      <c r="Q24" s="51">
        <f>INT((map!$DQ$22*(map!$DZ$20/100))*(1-$N$24/100))</f>
        <v>0</v>
      </c>
      <c r="R24" s="51">
        <f>INT((map!$DQ$23*(map!$DZ$20/100))*(1-$N$24/100))</f>
        <v>0</v>
      </c>
      <c r="S24" s="51"/>
      <c r="T24" s="51"/>
      <c r="U24" s="51"/>
    </row>
    <row r="25" spans="1:21">
      <c r="A25">
        <v>8</v>
      </c>
      <c r="B25" s="51"/>
      <c r="C25" s="54" t="s">
        <v>214</v>
      </c>
      <c r="D25" s="51">
        <v>75</v>
      </c>
      <c r="E25" s="51"/>
      <c r="F25" s="51"/>
      <c r="G25" s="51"/>
      <c r="H25" s="61"/>
      <c r="I25" s="51"/>
      <c r="J25" s="51"/>
      <c r="K25" s="51"/>
      <c r="L25" s="51"/>
      <c r="M25" s="52">
        <f>D25+H25</f>
        <v>75</v>
      </c>
      <c r="N25" s="51"/>
      <c r="O25" s="52"/>
      <c r="P25" s="51"/>
      <c r="Q25" s="51"/>
      <c r="R25" s="51"/>
      <c r="S25" s="51"/>
      <c r="T25" s="51"/>
      <c r="U25" s="51"/>
    </row>
    <row r="26" spans="1:21">
      <c r="A26">
        <v>9</v>
      </c>
      <c r="B26" s="51"/>
      <c r="C26" s="54" t="s">
        <v>215</v>
      </c>
      <c r="D26" s="51">
        <v>75</v>
      </c>
      <c r="E26" s="51"/>
      <c r="F26" s="51"/>
      <c r="G26" s="51"/>
      <c r="H26" s="61"/>
      <c r="I26" s="51"/>
      <c r="J26" s="51"/>
      <c r="K26" s="51"/>
      <c r="L26" s="51"/>
      <c r="M26" s="52">
        <f>D26+H26</f>
        <v>75</v>
      </c>
      <c r="N26" s="51"/>
      <c r="O26" s="82" t="s">
        <v>258</v>
      </c>
      <c r="P26" s="51"/>
      <c r="Q26" s="51"/>
      <c r="R26" s="51"/>
      <c r="S26" s="51"/>
      <c r="T26" s="51"/>
      <c r="U26" s="51"/>
    </row>
    <row r="27" spans="1:21">
      <c r="A27" t="s">
        <v>18</v>
      </c>
      <c r="B27" s="51"/>
      <c r="C27" s="54" t="s">
        <v>216</v>
      </c>
      <c r="D27" s="51">
        <v>75</v>
      </c>
      <c r="E27" s="51"/>
      <c r="F27" s="51"/>
      <c r="G27" s="51"/>
      <c r="H27" s="61"/>
      <c r="I27" s="51"/>
      <c r="J27" s="51"/>
      <c r="K27" s="51"/>
      <c r="L27" s="51"/>
      <c r="M27" s="52">
        <f>D27+H27</f>
        <v>75</v>
      </c>
      <c r="N27" s="51"/>
      <c r="O27" s="58">
        <f>O17+O22+O23+O24</f>
        <v>5</v>
      </c>
      <c r="P27" s="56">
        <f>P17+P22+P23+P24</f>
        <v>6</v>
      </c>
      <c r="Q27" s="56">
        <f>Q17+Q22+Q23+Q24</f>
        <v>7</v>
      </c>
      <c r="R27" s="56">
        <f>R17+R22+R23+R24</f>
        <v>8</v>
      </c>
      <c r="S27" s="51"/>
      <c r="T27" s="51"/>
      <c r="U27" s="51"/>
    </row>
    <row r="28" spans="1:21">
      <c r="A28" t="s">
        <v>19</v>
      </c>
      <c r="B28" s="51"/>
      <c r="C28" s="54" t="s">
        <v>108</v>
      </c>
      <c r="D28" s="51">
        <v>0</v>
      </c>
      <c r="E28" s="51"/>
      <c r="F28" s="51"/>
      <c r="G28" s="51"/>
      <c r="H28" s="61">
        <f>items!AK12</f>
        <v>0</v>
      </c>
      <c r="I28" s="51"/>
      <c r="J28" s="51"/>
      <c r="K28" s="51"/>
      <c r="L28" s="51"/>
      <c r="M28" s="52">
        <f>D28+H28</f>
        <v>0</v>
      </c>
      <c r="N28" s="51"/>
      <c r="O28" s="52"/>
      <c r="P28" s="51"/>
      <c r="Q28" s="51"/>
      <c r="R28" s="51"/>
      <c r="S28" s="51"/>
      <c r="T28" s="51"/>
      <c r="U28" s="51"/>
    </row>
    <row r="29" spans="1:21">
      <c r="A29" t="s">
        <v>20</v>
      </c>
      <c r="B29" s="51"/>
      <c r="C29" s="55" t="s">
        <v>220</v>
      </c>
      <c r="D29" s="51">
        <v>0</v>
      </c>
      <c r="E29" s="51"/>
      <c r="F29" s="51"/>
      <c r="G29" s="51">
        <f>INT(M15/2.5)</f>
        <v>12</v>
      </c>
      <c r="H29" s="61">
        <f>items!N12</f>
        <v>0</v>
      </c>
      <c r="I29" s="51"/>
      <c r="J29" s="51"/>
      <c r="K29" s="51"/>
      <c r="L29" s="51"/>
      <c r="M29" s="52">
        <f>D29+G29+H29</f>
        <v>12</v>
      </c>
      <c r="O29" s="81"/>
    </row>
    <row r="30" spans="1:21">
      <c r="A30" t="s">
        <v>21</v>
      </c>
      <c r="B30" s="51"/>
      <c r="C30" s="55" t="s">
        <v>229</v>
      </c>
      <c r="D30" s="51">
        <v>0</v>
      </c>
      <c r="E30" s="51"/>
      <c r="F30" s="51"/>
      <c r="G30" s="51"/>
      <c r="H30" s="61">
        <f>items!Q12</f>
        <v>0</v>
      </c>
      <c r="I30" s="51"/>
      <c r="J30" s="51"/>
      <c r="K30" s="51"/>
      <c r="L30" s="51"/>
      <c r="M30" s="52">
        <f>D30+H30</f>
        <v>0</v>
      </c>
      <c r="N30" s="51"/>
      <c r="O30" s="81"/>
    </row>
    <row r="31" spans="1:21">
      <c r="A31" t="s">
        <v>22</v>
      </c>
    </row>
    <row r="32" spans="1:21">
      <c r="A32" t="s">
        <v>23</v>
      </c>
    </row>
    <row r="33" spans="1:1">
      <c r="A33" t="s">
        <v>24</v>
      </c>
    </row>
    <row r="34" spans="1:1">
      <c r="A34" t="s">
        <v>25</v>
      </c>
    </row>
    <row r="35" spans="1:1">
      <c r="A35" t="s">
        <v>26</v>
      </c>
    </row>
    <row r="36" spans="1:1">
      <c r="A36" t="s">
        <v>27</v>
      </c>
    </row>
    <row r="37" spans="1:1">
      <c r="A37" t="s">
        <v>28</v>
      </c>
    </row>
    <row r="38" spans="1:1">
      <c r="A38" t="s">
        <v>29</v>
      </c>
    </row>
    <row r="39" spans="1:1">
      <c r="A39" t="s">
        <v>30</v>
      </c>
    </row>
    <row r="40" spans="1:1">
      <c r="A40" t="s">
        <v>31</v>
      </c>
    </row>
    <row r="41" spans="1:1">
      <c r="A41" t="s">
        <v>32</v>
      </c>
    </row>
    <row r="42" spans="1:1">
      <c r="A42" t="s">
        <v>33</v>
      </c>
    </row>
    <row r="43" spans="1:1">
      <c r="A43" t="s">
        <v>34</v>
      </c>
    </row>
    <row r="44" spans="1:1">
      <c r="A44" t="s">
        <v>35</v>
      </c>
    </row>
    <row r="45" spans="1:1">
      <c r="A45" t="s">
        <v>36</v>
      </c>
    </row>
    <row r="46" spans="1:1">
      <c r="A46" t="s">
        <v>37</v>
      </c>
    </row>
    <row r="47" spans="1:1">
      <c r="A47" t="s">
        <v>38</v>
      </c>
    </row>
    <row r="48" spans="1:1">
      <c r="A48" t="s">
        <v>39</v>
      </c>
    </row>
    <row r="49" spans="1:7">
      <c r="A49" t="s">
        <v>40</v>
      </c>
    </row>
    <row r="50" spans="1:7">
      <c r="A50" t="s">
        <v>41</v>
      </c>
    </row>
    <row r="51" spans="1:7">
      <c r="A51" t="s">
        <v>42</v>
      </c>
    </row>
    <row r="52" spans="1:7">
      <c r="A52" t="s">
        <v>43</v>
      </c>
    </row>
    <row r="53" spans="1:7">
      <c r="A53" t="s">
        <v>44</v>
      </c>
    </row>
    <row r="54" spans="1:7">
      <c r="A54" t="s">
        <v>45</v>
      </c>
    </row>
    <row r="55" spans="1:7">
      <c r="A55" t="s">
        <v>46</v>
      </c>
    </row>
    <row r="56" spans="1:7">
      <c r="A56" t="s">
        <v>47</v>
      </c>
    </row>
    <row r="57" spans="1:7">
      <c r="A57" t="s">
        <v>48</v>
      </c>
    </row>
    <row r="58" spans="1:7">
      <c r="A58" t="s">
        <v>49</v>
      </c>
      <c r="D58" t="s">
        <v>226</v>
      </c>
    </row>
    <row r="59" spans="1:7">
      <c r="A59" t="s">
        <v>50</v>
      </c>
      <c r="D59" t="s">
        <v>198</v>
      </c>
      <c r="E59" t="s">
        <v>224</v>
      </c>
      <c r="F59" t="s">
        <v>225</v>
      </c>
    </row>
    <row r="60" spans="1:7">
      <c r="A60" t="s">
        <v>51</v>
      </c>
      <c r="D60" s="53">
        <v>1</v>
      </c>
      <c r="E60" s="53">
        <v>0</v>
      </c>
      <c r="F60" s="53">
        <v>525</v>
      </c>
      <c r="G60" s="46"/>
    </row>
    <row r="61" spans="1:7">
      <c r="A61" t="s">
        <v>52</v>
      </c>
      <c r="D61" s="53">
        <v>2</v>
      </c>
      <c r="E61" s="53">
        <v>525</v>
      </c>
      <c r="F61" s="53">
        <v>1235</v>
      </c>
      <c r="G61" s="46"/>
    </row>
    <row r="62" spans="1:7">
      <c r="A62" t="s">
        <v>53</v>
      </c>
      <c r="D62" s="53">
        <v>3</v>
      </c>
      <c r="E62" s="53">
        <v>1760</v>
      </c>
      <c r="F62" s="53">
        <v>2021</v>
      </c>
      <c r="G62" s="46"/>
    </row>
    <row r="63" spans="1:7">
      <c r="A63" t="s">
        <v>54</v>
      </c>
      <c r="D63" s="53">
        <v>4</v>
      </c>
      <c r="E63" s="53">
        <v>3781</v>
      </c>
      <c r="F63" s="53">
        <v>3403</v>
      </c>
      <c r="G63" s="46"/>
    </row>
    <row r="64" spans="1:7">
      <c r="A64" t="s">
        <v>55</v>
      </c>
      <c r="D64" s="53">
        <v>5</v>
      </c>
      <c r="E64" s="53">
        <v>7184</v>
      </c>
      <c r="F64" s="53">
        <v>5002</v>
      </c>
      <c r="G64" s="46"/>
    </row>
    <row r="65" spans="1:7">
      <c r="A65" t="s">
        <v>56</v>
      </c>
      <c r="D65" s="53">
        <v>6</v>
      </c>
      <c r="E65" s="53">
        <v>12186</v>
      </c>
      <c r="F65" s="53">
        <v>7138</v>
      </c>
      <c r="G65" s="46"/>
    </row>
    <row r="66" spans="1:7">
      <c r="A66" t="s">
        <v>57</v>
      </c>
      <c r="D66" s="53">
        <v>7</v>
      </c>
      <c r="E66" s="53">
        <v>19324</v>
      </c>
      <c r="F66" s="53">
        <v>10053</v>
      </c>
      <c r="G66" s="46"/>
    </row>
    <row r="67" spans="1:7">
      <c r="A67" t="s">
        <v>58</v>
      </c>
      <c r="D67" s="53">
        <v>8</v>
      </c>
      <c r="E67" s="53">
        <v>29377</v>
      </c>
      <c r="F67" s="53">
        <v>13804</v>
      </c>
      <c r="G67" s="46"/>
    </row>
    <row r="68" spans="1:7">
      <c r="A68" t="s">
        <v>59</v>
      </c>
      <c r="D68" s="53">
        <v>9</v>
      </c>
      <c r="E68" s="53">
        <v>43181</v>
      </c>
      <c r="F68" s="53">
        <v>18512</v>
      </c>
      <c r="G68" s="46"/>
    </row>
    <row r="69" spans="1:7">
      <c r="A69" t="s">
        <v>60</v>
      </c>
      <c r="D69" s="53">
        <v>10</v>
      </c>
      <c r="E69" s="53">
        <v>61693</v>
      </c>
      <c r="F69" s="53">
        <v>24297</v>
      </c>
      <c r="G69" s="46"/>
    </row>
    <row r="70" spans="1:7">
      <c r="A70" t="s">
        <v>61</v>
      </c>
      <c r="D70" s="53">
        <v>11</v>
      </c>
      <c r="E70" s="53">
        <v>85990</v>
      </c>
      <c r="F70" s="53">
        <v>31516</v>
      </c>
      <c r="G70" s="46"/>
    </row>
    <row r="71" spans="1:7">
      <c r="A71" t="s">
        <v>62</v>
      </c>
      <c r="D71" s="53">
        <v>12</v>
      </c>
      <c r="E71" s="53">
        <v>117506</v>
      </c>
      <c r="F71" s="53">
        <v>39878</v>
      </c>
      <c r="G71" s="46"/>
    </row>
    <row r="72" spans="1:7">
      <c r="A72" t="s">
        <v>63</v>
      </c>
      <c r="D72" s="53">
        <v>13</v>
      </c>
      <c r="E72" s="53">
        <v>157384</v>
      </c>
      <c r="F72" s="53">
        <v>50352</v>
      </c>
      <c r="G72" s="46"/>
    </row>
    <row r="73" spans="1:7">
      <c r="A73" t="s">
        <v>64</v>
      </c>
      <c r="D73" s="53">
        <v>14</v>
      </c>
      <c r="E73" s="53">
        <v>207736</v>
      </c>
      <c r="F73" s="53">
        <v>62261</v>
      </c>
      <c r="G73" s="46"/>
    </row>
    <row r="74" spans="1:7">
      <c r="A74" t="s">
        <v>65</v>
      </c>
      <c r="D74" s="53">
        <v>15</v>
      </c>
      <c r="E74" s="53">
        <v>269997</v>
      </c>
      <c r="F74" s="53">
        <v>76465</v>
      </c>
      <c r="G74" s="46"/>
    </row>
    <row r="75" spans="1:7">
      <c r="A75" t="s">
        <v>66</v>
      </c>
      <c r="D75" s="53">
        <v>16</v>
      </c>
      <c r="E75" s="53">
        <v>346462</v>
      </c>
      <c r="F75" s="53">
        <v>92806</v>
      </c>
      <c r="G75" s="46"/>
    </row>
    <row r="76" spans="1:7">
      <c r="A76" t="s">
        <v>67</v>
      </c>
      <c r="D76" s="53">
        <v>17</v>
      </c>
      <c r="E76" s="53">
        <v>439268</v>
      </c>
      <c r="F76" s="53">
        <v>112027</v>
      </c>
      <c r="G76" s="46"/>
    </row>
    <row r="77" spans="1:7">
      <c r="A77" t="s">
        <v>68</v>
      </c>
      <c r="D77" s="53">
        <v>18</v>
      </c>
      <c r="E77" s="53">
        <v>551295</v>
      </c>
      <c r="F77" s="53">
        <v>133876</v>
      </c>
      <c r="G77" s="46"/>
    </row>
    <row r="78" spans="1:7">
      <c r="A78" t="s">
        <v>69</v>
      </c>
      <c r="D78" s="53">
        <v>19</v>
      </c>
      <c r="E78" s="53">
        <v>685171</v>
      </c>
      <c r="F78" s="53">
        <v>158538</v>
      </c>
      <c r="G78" s="46"/>
    </row>
    <row r="79" spans="1:7">
      <c r="A79" t="s">
        <v>70</v>
      </c>
      <c r="D79" s="53">
        <v>20</v>
      </c>
      <c r="E79" s="53">
        <v>843709</v>
      </c>
      <c r="F79" s="53">
        <v>187025</v>
      </c>
      <c r="G79" s="46"/>
    </row>
    <row r="80" spans="1:7">
      <c r="A80" t="s">
        <v>71</v>
      </c>
      <c r="D80" s="53">
        <v>21</v>
      </c>
      <c r="E80" s="53">
        <v>1030734</v>
      </c>
      <c r="F80" s="53">
        <v>218895</v>
      </c>
      <c r="G80" s="46"/>
    </row>
    <row r="81" spans="1:7">
      <c r="A81" t="s">
        <v>72</v>
      </c>
      <c r="D81" s="53">
        <v>22</v>
      </c>
      <c r="E81" s="53">
        <v>1249629</v>
      </c>
      <c r="F81" s="53">
        <v>255366</v>
      </c>
      <c r="G81" s="46"/>
    </row>
    <row r="82" spans="1:7">
      <c r="A82" t="s">
        <v>73</v>
      </c>
      <c r="D82" s="53">
        <v>23</v>
      </c>
      <c r="E82" s="53">
        <v>1504995</v>
      </c>
      <c r="F82" s="53">
        <v>295852</v>
      </c>
      <c r="G82" s="46"/>
    </row>
    <row r="83" spans="1:7">
      <c r="A83" t="s">
        <v>74</v>
      </c>
      <c r="D83" s="53">
        <v>24</v>
      </c>
      <c r="E83" s="53">
        <v>1800847</v>
      </c>
      <c r="F83" s="53">
        <v>341805</v>
      </c>
      <c r="G83" s="46"/>
    </row>
    <row r="84" spans="1:7">
      <c r="A84" t="s">
        <v>75</v>
      </c>
      <c r="D84" s="53">
        <v>25</v>
      </c>
      <c r="E84" s="53">
        <v>2142652</v>
      </c>
      <c r="F84" s="53">
        <v>392470</v>
      </c>
      <c r="G84" s="46"/>
    </row>
    <row r="85" spans="1:7">
      <c r="A85" t="s">
        <v>76</v>
      </c>
      <c r="D85" s="53">
        <v>26</v>
      </c>
      <c r="E85" s="53">
        <v>2535122</v>
      </c>
      <c r="F85" s="53">
        <v>449555</v>
      </c>
      <c r="G85" s="46"/>
    </row>
    <row r="86" spans="1:7">
      <c r="A86" t="s">
        <v>77</v>
      </c>
      <c r="D86" s="53">
        <v>27</v>
      </c>
      <c r="E86" s="53">
        <v>2984677</v>
      </c>
      <c r="F86" s="53">
        <v>512121</v>
      </c>
      <c r="G86" s="46"/>
    </row>
    <row r="87" spans="1:7">
      <c r="A87" t="s">
        <v>78</v>
      </c>
      <c r="D87" s="53">
        <v>28</v>
      </c>
      <c r="E87" s="53">
        <v>3496798</v>
      </c>
      <c r="F87" s="53">
        <v>583857</v>
      </c>
      <c r="G87" s="46"/>
    </row>
    <row r="88" spans="1:7">
      <c r="A88" t="s">
        <v>79</v>
      </c>
      <c r="D88" s="53">
        <v>29</v>
      </c>
      <c r="E88" s="53">
        <v>4080655</v>
      </c>
      <c r="F88" s="53">
        <v>662181</v>
      </c>
      <c r="G88" s="46"/>
    </row>
    <row r="89" spans="1:7">
      <c r="A89" t="s">
        <v>80</v>
      </c>
      <c r="D89" s="53">
        <v>30</v>
      </c>
      <c r="E89" s="53">
        <v>4742836</v>
      </c>
      <c r="F89" s="53">
        <v>747411</v>
      </c>
      <c r="G89" s="46"/>
    </row>
    <row r="90" spans="1:7">
      <c r="A90" t="s">
        <v>81</v>
      </c>
      <c r="D90" s="53">
        <v>31</v>
      </c>
      <c r="E90" s="53">
        <v>5490247</v>
      </c>
      <c r="F90" s="53">
        <v>844146</v>
      </c>
      <c r="G90" s="46"/>
    </row>
    <row r="91" spans="1:7">
      <c r="A91" t="s">
        <v>82</v>
      </c>
      <c r="D91" s="53">
        <v>32</v>
      </c>
      <c r="E91" s="53">
        <v>6334393</v>
      </c>
      <c r="F91" s="53">
        <v>949053</v>
      </c>
      <c r="G91" s="46"/>
    </row>
    <row r="92" spans="1:7">
      <c r="A92" t="s">
        <v>83</v>
      </c>
      <c r="D92" s="53">
        <v>33</v>
      </c>
      <c r="E92" s="53">
        <v>7283446</v>
      </c>
      <c r="F92" s="53">
        <v>1064952</v>
      </c>
      <c r="G92" s="46"/>
    </row>
    <row r="93" spans="1:7">
      <c r="A93" t="s">
        <v>84</v>
      </c>
      <c r="D93" s="53">
        <v>34</v>
      </c>
      <c r="E93" s="53">
        <v>8384398</v>
      </c>
      <c r="F93" s="53">
        <v>1192712</v>
      </c>
      <c r="G93" s="46"/>
    </row>
    <row r="94" spans="1:7">
      <c r="A94" t="s">
        <v>85</v>
      </c>
      <c r="D94" s="53">
        <v>35</v>
      </c>
      <c r="E94" s="53">
        <v>9541110</v>
      </c>
      <c r="F94" s="53">
        <v>1333241</v>
      </c>
      <c r="G94" s="46"/>
    </row>
    <row r="95" spans="1:7">
      <c r="A95" t="s">
        <v>86</v>
      </c>
      <c r="D95" s="53">
        <v>36</v>
      </c>
      <c r="E95" s="53">
        <v>10874351</v>
      </c>
      <c r="F95" s="53">
        <v>1487491</v>
      </c>
      <c r="G95" s="46"/>
    </row>
    <row r="96" spans="1:7">
      <c r="A96" t="s">
        <v>155</v>
      </c>
      <c r="D96" s="53">
        <v>37</v>
      </c>
      <c r="E96" s="53">
        <v>12361842</v>
      </c>
      <c r="F96" s="53">
        <v>1656447</v>
      </c>
      <c r="G96" s="46"/>
    </row>
    <row r="97" spans="1:7">
      <c r="A97" t="s">
        <v>156</v>
      </c>
      <c r="D97" s="53">
        <v>38</v>
      </c>
      <c r="E97" s="53">
        <v>14018289</v>
      </c>
      <c r="F97" s="53">
        <v>1841143</v>
      </c>
      <c r="G97" s="46"/>
    </row>
    <row r="98" spans="1:7">
      <c r="A98" t="s">
        <v>157</v>
      </c>
      <c r="D98" s="53">
        <v>39</v>
      </c>
      <c r="E98" s="53">
        <v>15859432</v>
      </c>
      <c r="F98" s="53">
        <v>2046202</v>
      </c>
      <c r="G98" s="46"/>
    </row>
    <row r="99" spans="1:7">
      <c r="A99" t="s">
        <v>158</v>
      </c>
      <c r="D99" s="53">
        <v>40</v>
      </c>
      <c r="E99" s="53">
        <v>17905634</v>
      </c>
      <c r="F99" s="53">
        <v>2265837</v>
      </c>
      <c r="G99" s="46"/>
    </row>
    <row r="100" spans="1:7">
      <c r="A100" t="s">
        <v>159</v>
      </c>
      <c r="D100" s="53">
        <v>41</v>
      </c>
      <c r="E100" s="53">
        <v>20171471</v>
      </c>
      <c r="F100" s="53">
        <v>2508528</v>
      </c>
      <c r="G100" s="46"/>
    </row>
    <row r="101" spans="1:7">
      <c r="A101" t="s">
        <v>160</v>
      </c>
      <c r="D101" s="53">
        <v>42</v>
      </c>
      <c r="E101" s="53">
        <v>22679999</v>
      </c>
      <c r="F101" s="53">
        <v>2776124</v>
      </c>
      <c r="G101" s="46"/>
    </row>
    <row r="102" spans="1:7">
      <c r="A102" t="s">
        <v>161</v>
      </c>
      <c r="D102" s="53">
        <v>43</v>
      </c>
      <c r="E102" s="53">
        <v>25456123</v>
      </c>
      <c r="F102" s="53">
        <v>3061734</v>
      </c>
      <c r="G102" s="46"/>
    </row>
    <row r="103" spans="1:7">
      <c r="A103" t="s">
        <v>162</v>
      </c>
      <c r="D103" s="53">
        <v>44</v>
      </c>
      <c r="E103" s="53">
        <v>28517857</v>
      </c>
      <c r="F103" s="53">
        <v>3379914</v>
      </c>
      <c r="G103" s="46"/>
    </row>
    <row r="104" spans="1:7">
      <c r="A104" t="s">
        <v>163</v>
      </c>
      <c r="D104" s="53">
        <v>45</v>
      </c>
      <c r="E104" s="53">
        <v>31897771</v>
      </c>
      <c r="F104" s="53">
        <v>3723676</v>
      </c>
      <c r="G104" s="46"/>
    </row>
    <row r="105" spans="1:7">
      <c r="A105" t="s">
        <v>164</v>
      </c>
      <c r="D105" s="53">
        <v>46</v>
      </c>
      <c r="E105" s="53">
        <v>35621447</v>
      </c>
      <c r="F105" s="53">
        <v>4099570</v>
      </c>
      <c r="G105" s="46"/>
    </row>
    <row r="106" spans="1:7">
      <c r="A106" t="s">
        <v>165</v>
      </c>
      <c r="D106" s="53">
        <v>47</v>
      </c>
      <c r="E106" s="53">
        <v>39721017</v>
      </c>
      <c r="F106" s="53">
        <v>4504444</v>
      </c>
      <c r="G106" s="46"/>
    </row>
    <row r="107" spans="1:7">
      <c r="A107" t="s">
        <v>166</v>
      </c>
      <c r="D107" s="53">
        <v>48</v>
      </c>
      <c r="E107" s="53">
        <v>44225461</v>
      </c>
      <c r="F107" s="53">
        <v>4951099</v>
      </c>
      <c r="G107" s="46"/>
    </row>
    <row r="108" spans="1:7">
      <c r="A108" t="s">
        <v>167</v>
      </c>
      <c r="D108" s="53">
        <v>49</v>
      </c>
      <c r="E108" s="53">
        <v>49176560</v>
      </c>
      <c r="F108" s="53">
        <v>5430907</v>
      </c>
      <c r="G108" s="46"/>
    </row>
    <row r="109" spans="1:7">
      <c r="A109" t="s">
        <v>168</v>
      </c>
      <c r="D109" s="53">
        <v>50</v>
      </c>
      <c r="E109" s="53">
        <v>54607467</v>
      </c>
      <c r="F109" s="53">
        <v>5957868</v>
      </c>
      <c r="G109" s="46"/>
    </row>
    <row r="110" spans="1:7">
      <c r="A110" t="s">
        <v>169</v>
      </c>
      <c r="D110" s="53">
        <v>51</v>
      </c>
      <c r="E110" s="53">
        <v>60565335</v>
      </c>
      <c r="F110" s="53">
        <v>6528910</v>
      </c>
    </row>
    <row r="111" spans="1:7">
      <c r="A111" t="s">
        <v>170</v>
      </c>
      <c r="D111" s="53">
        <v>52</v>
      </c>
      <c r="E111" s="53">
        <v>67094245</v>
      </c>
      <c r="F111" s="53">
        <v>7153414</v>
      </c>
    </row>
    <row r="112" spans="1:7">
      <c r="A112" t="s">
        <v>171</v>
      </c>
      <c r="D112" s="53">
        <v>53</v>
      </c>
      <c r="E112" s="53">
        <v>74247659</v>
      </c>
      <c r="F112" s="53">
        <v>7827968</v>
      </c>
    </row>
    <row r="113" spans="1:6">
      <c r="A113" t="s">
        <v>172</v>
      </c>
      <c r="D113" s="53">
        <v>54</v>
      </c>
      <c r="E113" s="53">
        <v>82075627</v>
      </c>
      <c r="F113" s="53">
        <v>8555414</v>
      </c>
    </row>
    <row r="114" spans="1:6">
      <c r="A114" t="s">
        <v>173</v>
      </c>
      <c r="D114" s="53">
        <v>55</v>
      </c>
      <c r="E114" s="53">
        <v>90631041</v>
      </c>
      <c r="F114" s="53">
        <v>9353933</v>
      </c>
    </row>
    <row r="115" spans="1:6">
      <c r="A115" t="s">
        <v>174</v>
      </c>
      <c r="D115" s="53">
        <v>56</v>
      </c>
      <c r="E115" s="53">
        <v>99984974</v>
      </c>
      <c r="F115" s="53">
        <v>10212541</v>
      </c>
    </row>
    <row r="116" spans="1:6">
      <c r="B116" t="s">
        <v>175</v>
      </c>
      <c r="D116" s="53">
        <v>57</v>
      </c>
      <c r="E116" s="53">
        <v>110197515</v>
      </c>
      <c r="F116" s="53">
        <v>11142646</v>
      </c>
    </row>
    <row r="117" spans="1:6">
      <c r="A117" t="s">
        <v>176</v>
      </c>
      <c r="D117" s="53">
        <v>58</v>
      </c>
      <c r="E117" s="53">
        <v>121340161</v>
      </c>
      <c r="F117" s="53">
        <v>12157041</v>
      </c>
    </row>
    <row r="118" spans="1:6">
      <c r="A118" t="s">
        <v>177</v>
      </c>
      <c r="D118" s="53">
        <v>59</v>
      </c>
      <c r="E118" s="53">
        <v>133497202</v>
      </c>
      <c r="F118" s="53">
        <v>13252160</v>
      </c>
    </row>
    <row r="119" spans="1:6">
      <c r="A119" t="s">
        <v>178</v>
      </c>
      <c r="D119" s="53">
        <v>60</v>
      </c>
      <c r="E119" s="53">
        <v>146749362</v>
      </c>
      <c r="F119" s="53">
        <v>14441758</v>
      </c>
    </row>
    <row r="120" spans="1:6">
      <c r="A120" t="s">
        <v>179</v>
      </c>
      <c r="D120" s="53">
        <v>61</v>
      </c>
      <c r="E120" s="53">
        <v>161191120</v>
      </c>
      <c r="F120" s="53">
        <v>15731508</v>
      </c>
    </row>
    <row r="121" spans="1:6">
      <c r="A121" t="s">
        <v>180</v>
      </c>
      <c r="D121" s="53">
        <v>62</v>
      </c>
      <c r="E121" s="53">
        <v>176922628</v>
      </c>
      <c r="F121" s="53">
        <v>17127265</v>
      </c>
    </row>
    <row r="122" spans="1:6">
      <c r="A122" t="s">
        <v>181</v>
      </c>
      <c r="D122" s="53">
        <v>63</v>
      </c>
      <c r="E122" s="53">
        <v>194049893</v>
      </c>
      <c r="F122" s="53">
        <v>18635053</v>
      </c>
    </row>
    <row r="123" spans="1:6">
      <c r="B123" t="s">
        <v>182</v>
      </c>
      <c r="D123" s="53">
        <v>64</v>
      </c>
      <c r="E123" s="53">
        <v>212684946</v>
      </c>
      <c r="F123" s="53">
        <v>20271765</v>
      </c>
    </row>
    <row r="124" spans="1:6">
      <c r="A124" t="s">
        <v>183</v>
      </c>
      <c r="D124" s="53">
        <v>65</v>
      </c>
      <c r="E124" s="53">
        <v>232956711</v>
      </c>
      <c r="F124" s="53">
        <v>22044909</v>
      </c>
    </row>
    <row r="125" spans="1:6">
      <c r="A125" t="s">
        <v>184</v>
      </c>
      <c r="D125" s="53">
        <v>66</v>
      </c>
      <c r="E125" s="53">
        <v>255001620</v>
      </c>
      <c r="F125" s="53">
        <v>23950783</v>
      </c>
    </row>
    <row r="126" spans="1:6">
      <c r="A126" t="s">
        <v>185</v>
      </c>
      <c r="D126" s="53">
        <v>67</v>
      </c>
      <c r="E126" s="53">
        <v>278952403</v>
      </c>
      <c r="F126" s="53">
        <v>26019833</v>
      </c>
    </row>
    <row r="127" spans="1:6">
      <c r="A127" t="s">
        <v>186</v>
      </c>
      <c r="D127" s="53">
        <v>68</v>
      </c>
      <c r="E127" s="53">
        <v>304972236</v>
      </c>
      <c r="F127" s="53">
        <v>28261412</v>
      </c>
    </row>
    <row r="128" spans="1:6">
      <c r="B128" t="s">
        <v>187</v>
      </c>
      <c r="D128" s="53">
        <v>69</v>
      </c>
      <c r="E128" s="53">
        <v>333233648</v>
      </c>
      <c r="F128" s="53">
        <v>30672515</v>
      </c>
    </row>
    <row r="129" spans="1:6">
      <c r="A129" t="s">
        <v>188</v>
      </c>
      <c r="D129" s="53">
        <v>70</v>
      </c>
      <c r="E129" s="53">
        <v>363906163</v>
      </c>
      <c r="F129" s="53">
        <v>33287878</v>
      </c>
    </row>
    <row r="130" spans="1:6">
      <c r="A130" t="s">
        <v>189</v>
      </c>
      <c r="D130" s="53">
        <v>71</v>
      </c>
      <c r="E130" s="53">
        <v>397194041</v>
      </c>
      <c r="F130" s="53">
        <v>36118904</v>
      </c>
    </row>
    <row r="131" spans="1:6">
      <c r="B131" t="s">
        <v>190</v>
      </c>
      <c r="D131" s="53">
        <v>72</v>
      </c>
      <c r="E131" s="53">
        <v>433312945</v>
      </c>
      <c r="F131" s="53">
        <v>39163425</v>
      </c>
    </row>
    <row r="132" spans="1:6">
      <c r="D132" s="53">
        <v>73</v>
      </c>
      <c r="E132" s="53">
        <v>472476370</v>
      </c>
      <c r="F132" s="53">
        <v>42460810</v>
      </c>
    </row>
    <row r="133" spans="1:6">
      <c r="D133" s="53">
        <v>74</v>
      </c>
      <c r="E133" s="53">
        <v>514937180</v>
      </c>
      <c r="F133" s="53">
        <v>46024718</v>
      </c>
    </row>
    <row r="134" spans="1:6">
      <c r="D134" s="53">
        <v>75</v>
      </c>
      <c r="E134" s="53">
        <v>560961898</v>
      </c>
      <c r="F134" s="53">
        <v>49853964</v>
      </c>
    </row>
    <row r="135" spans="1:6">
      <c r="D135" s="53">
        <v>76</v>
      </c>
      <c r="E135" s="53">
        <v>610815862</v>
      </c>
      <c r="F135" s="53">
        <v>54008554</v>
      </c>
    </row>
    <row r="136" spans="1:6">
      <c r="D136" s="53">
        <v>77</v>
      </c>
      <c r="E136" s="53">
        <v>664824416</v>
      </c>
      <c r="F136" s="53">
        <v>58473753</v>
      </c>
    </row>
    <row r="137" spans="1:6">
      <c r="D137" s="53">
        <v>78</v>
      </c>
      <c r="E137" s="53">
        <v>723298169</v>
      </c>
      <c r="F137" s="53">
        <v>63314495</v>
      </c>
    </row>
    <row r="138" spans="1:6">
      <c r="D138" s="53">
        <v>79</v>
      </c>
      <c r="E138" s="53">
        <v>786612664</v>
      </c>
      <c r="F138" s="53">
        <v>68516464</v>
      </c>
    </row>
    <row r="139" spans="1:6">
      <c r="D139" s="53">
        <v>80</v>
      </c>
      <c r="E139" s="53">
        <v>855129128</v>
      </c>
      <c r="F139" s="53">
        <v>74132190</v>
      </c>
    </row>
    <row r="140" spans="1:6">
      <c r="D140" s="53">
        <v>81</v>
      </c>
      <c r="E140" s="53">
        <v>929261318</v>
      </c>
      <c r="F140" s="53">
        <v>80182477</v>
      </c>
    </row>
    <row r="141" spans="1:6">
      <c r="D141" s="53">
        <v>82</v>
      </c>
      <c r="E141" s="53">
        <v>1009443795</v>
      </c>
      <c r="F141" s="53">
        <v>86725730</v>
      </c>
    </row>
    <row r="142" spans="1:6">
      <c r="D142" s="53">
        <v>83</v>
      </c>
      <c r="E142" s="53">
        <v>1096169525</v>
      </c>
      <c r="F142" s="53">
        <v>93748717</v>
      </c>
    </row>
    <row r="143" spans="1:6">
      <c r="D143" s="53">
        <v>84</v>
      </c>
      <c r="E143" s="53">
        <v>1189918242</v>
      </c>
      <c r="F143" s="53">
        <v>101352108</v>
      </c>
    </row>
    <row r="144" spans="1:6">
      <c r="D144" s="53">
        <v>85</v>
      </c>
      <c r="E144" s="53">
        <v>1291270350</v>
      </c>
      <c r="F144" s="53">
        <v>109524907</v>
      </c>
    </row>
    <row r="145" spans="4:6">
      <c r="D145" s="53">
        <v>86</v>
      </c>
      <c r="E145" s="53">
        <v>1400795257</v>
      </c>
      <c r="F145" s="53">
        <v>118335069</v>
      </c>
    </row>
    <row r="146" spans="4:6">
      <c r="D146" s="53">
        <v>87</v>
      </c>
      <c r="E146" s="53">
        <v>1519130326</v>
      </c>
      <c r="F146" s="53">
        <v>127813148</v>
      </c>
    </row>
    <row r="147" spans="4:6">
      <c r="D147" s="53">
        <v>88</v>
      </c>
      <c r="E147" s="53">
        <v>1646943474</v>
      </c>
      <c r="F147" s="53">
        <v>138033822</v>
      </c>
    </row>
    <row r="148" spans="4:6">
      <c r="D148" s="53">
        <v>89</v>
      </c>
      <c r="E148" s="53">
        <v>1784977296</v>
      </c>
      <c r="F148" s="53">
        <v>149032822</v>
      </c>
    </row>
    <row r="149" spans="4:6">
      <c r="D149" s="53">
        <v>90</v>
      </c>
      <c r="E149" s="53">
        <v>1934009687</v>
      </c>
      <c r="F149" s="53">
        <v>160890604</v>
      </c>
    </row>
    <row r="150" spans="4:6">
      <c r="D150" s="53">
        <v>91</v>
      </c>
      <c r="E150" s="53">
        <v>2094900291</v>
      </c>
      <c r="F150" s="53">
        <v>173648795</v>
      </c>
    </row>
    <row r="151" spans="4:6">
      <c r="D151" s="53">
        <v>92</v>
      </c>
      <c r="E151" s="53">
        <v>2268549086</v>
      </c>
      <c r="F151" s="53">
        <v>187372170</v>
      </c>
    </row>
    <row r="152" spans="4:6">
      <c r="D152" s="53">
        <v>93</v>
      </c>
      <c r="E152" s="53">
        <v>2455921256</v>
      </c>
      <c r="F152" s="53">
        <v>202153736</v>
      </c>
    </row>
    <row r="153" spans="4:6">
      <c r="D153" s="53">
        <v>94</v>
      </c>
      <c r="E153" s="53">
        <v>2658074992</v>
      </c>
      <c r="F153" s="53">
        <v>218041909</v>
      </c>
    </row>
    <row r="154" spans="4:6">
      <c r="D154" s="53">
        <v>95</v>
      </c>
      <c r="E154" s="53">
        <v>2876116901</v>
      </c>
      <c r="F154" s="53">
        <v>235163399</v>
      </c>
    </row>
    <row r="155" spans="4:6">
      <c r="D155" s="53">
        <v>96</v>
      </c>
      <c r="E155" s="53">
        <v>3111280300</v>
      </c>
      <c r="F155" s="53">
        <v>253547862</v>
      </c>
    </row>
    <row r="156" spans="4:6">
      <c r="D156" s="53">
        <v>97</v>
      </c>
      <c r="E156" s="53">
        <v>3364828162</v>
      </c>
      <c r="F156" s="53">
        <v>273358532</v>
      </c>
    </row>
    <row r="157" spans="4:6">
      <c r="D157" s="53">
        <v>98</v>
      </c>
      <c r="E157" s="53">
        <v>3638186694</v>
      </c>
      <c r="F157" s="53">
        <v>294631836</v>
      </c>
    </row>
    <row r="158" spans="4:6">
      <c r="D158" s="53">
        <v>99</v>
      </c>
      <c r="E158" s="53">
        <v>3932818530</v>
      </c>
      <c r="F158" s="53">
        <v>317515914</v>
      </c>
    </row>
    <row r="159" spans="4:6">
      <c r="D159" s="53">
        <v>100</v>
      </c>
      <c r="E159" s="53">
        <v>4250334444</v>
      </c>
      <c r="F159" s="53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items"/>
  <dimension ref="A1:AP127"/>
  <sheetViews>
    <sheetView zoomScaleNormal="100" workbookViewId="0">
      <selection activeCell="A11" sqref="A11"/>
    </sheetView>
  </sheetViews>
  <sheetFormatPr baseColWidth="10" defaultColWidth="30.7109375" defaultRowHeight="15"/>
  <cols>
    <col min="1" max="13" width="10.7109375" style="87" customWidth="1"/>
    <col min="14" max="69" width="20.7109375" style="87" customWidth="1"/>
    <col min="70" max="16384" width="30.7109375" style="87"/>
  </cols>
  <sheetData>
    <row r="1" spans="1:42" s="85" customFormat="1">
      <c r="A1" s="85" t="s">
        <v>129</v>
      </c>
      <c r="B1" s="85" t="s">
        <v>242</v>
      </c>
      <c r="C1" s="85" t="s">
        <v>243</v>
      </c>
      <c r="D1" s="85" t="s">
        <v>130</v>
      </c>
      <c r="E1" s="85" t="s">
        <v>134</v>
      </c>
      <c r="F1" s="85" t="s">
        <v>133</v>
      </c>
      <c r="G1" s="85" t="s">
        <v>135</v>
      </c>
      <c r="H1" s="85" t="s">
        <v>136</v>
      </c>
      <c r="I1" s="85" t="s">
        <v>138</v>
      </c>
      <c r="J1" s="85" t="s">
        <v>139</v>
      </c>
      <c r="K1" s="85" t="s">
        <v>137</v>
      </c>
      <c r="L1" s="85" t="s">
        <v>140</v>
      </c>
      <c r="M1" s="85" t="s">
        <v>141</v>
      </c>
      <c r="N1" s="85" t="s">
        <v>111</v>
      </c>
      <c r="O1" s="85" t="s">
        <v>145</v>
      </c>
      <c r="P1" s="85" t="s">
        <v>146</v>
      </c>
      <c r="Q1" s="85" t="s">
        <v>112</v>
      </c>
      <c r="R1" s="85" t="s">
        <v>147</v>
      </c>
      <c r="S1" s="85" t="s">
        <v>148</v>
      </c>
      <c r="T1" s="85" t="s">
        <v>149</v>
      </c>
      <c r="U1" s="85" t="s">
        <v>150</v>
      </c>
      <c r="V1" s="85" t="s">
        <v>151</v>
      </c>
      <c r="W1" s="85" t="s">
        <v>238</v>
      </c>
      <c r="X1" s="85" t="s">
        <v>113</v>
      </c>
      <c r="Y1" s="85" t="s">
        <v>114</v>
      </c>
      <c r="Z1" s="85" t="s">
        <v>115</v>
      </c>
      <c r="AA1" s="85" t="s">
        <v>116</v>
      </c>
      <c r="AB1" s="85" t="s">
        <v>117</v>
      </c>
      <c r="AC1" s="85" t="s">
        <v>118</v>
      </c>
      <c r="AD1" s="85" t="s">
        <v>119</v>
      </c>
      <c r="AE1" s="85" t="s">
        <v>120</v>
      </c>
      <c r="AF1" s="85" t="s">
        <v>121</v>
      </c>
      <c r="AG1" s="85" t="s">
        <v>122</v>
      </c>
      <c r="AH1" s="85" t="s">
        <v>123</v>
      </c>
      <c r="AI1" s="85" t="s">
        <v>124</v>
      </c>
      <c r="AJ1" s="85" t="s">
        <v>125</v>
      </c>
      <c r="AK1" s="85" t="s">
        <v>126</v>
      </c>
      <c r="AL1" s="85" t="s">
        <v>127</v>
      </c>
      <c r="AM1" s="85" t="s">
        <v>128</v>
      </c>
      <c r="AN1" s="85" t="s">
        <v>142</v>
      </c>
      <c r="AO1" s="85" t="s">
        <v>143</v>
      </c>
      <c r="AP1" s="85" t="s">
        <v>240</v>
      </c>
    </row>
    <row r="2" spans="1:42" s="86" customFormat="1">
      <c r="A2" s="86" t="s">
        <v>88</v>
      </c>
    </row>
    <row r="3" spans="1:42">
      <c r="AN3" s="87">
        <f>INT((O3+AL3)*(N3/100+1))</f>
        <v>0</v>
      </c>
      <c r="AO3" s="87">
        <f>INT((P3+AM3)*(N3/100+1))</f>
        <v>0</v>
      </c>
      <c r="AP3" s="95" t="s">
        <v>9</v>
      </c>
    </row>
    <row r="4" spans="1:42">
      <c r="AN4" s="87">
        <f>INT((AA4+AL4)*(AB4/100+1))</f>
        <v>0</v>
      </c>
      <c r="AP4" s="95" t="s">
        <v>9</v>
      </c>
    </row>
    <row r="5" spans="1:42">
      <c r="AN5" s="87">
        <f>INT((AA5+AL5)*(AB5/100+1))</f>
        <v>0</v>
      </c>
      <c r="AP5" s="95" t="s">
        <v>9</v>
      </c>
    </row>
    <row r="6" spans="1:42">
      <c r="AN6" s="87">
        <f>INT((AA6+AL6)*(AB6/100+1))</f>
        <v>0</v>
      </c>
      <c r="AP6" s="95" t="s">
        <v>9</v>
      </c>
    </row>
    <row r="7" spans="1:42">
      <c r="AN7" s="87">
        <f>INT((AA7+AL7)*(AB7/100+1))</f>
        <v>0</v>
      </c>
      <c r="AP7" s="95" t="s">
        <v>9</v>
      </c>
    </row>
    <row r="8" spans="1:42">
      <c r="AN8" s="87">
        <f>INT((AA8+AL8)*(AB8/100+1))</f>
        <v>0</v>
      </c>
      <c r="AP8" s="95" t="s">
        <v>9</v>
      </c>
    </row>
    <row r="9" spans="1:42">
      <c r="AP9" s="95" t="s">
        <v>9</v>
      </c>
    </row>
    <row r="10" spans="1:42">
      <c r="AP10" s="95" t="s">
        <v>9</v>
      </c>
    </row>
    <row r="11" spans="1:42">
      <c r="AP11" s="95" t="s">
        <v>9</v>
      </c>
    </row>
    <row r="12" spans="1:42" s="88" customFormat="1">
      <c r="A12" s="88" t="s">
        <v>144</v>
      </c>
      <c r="N12" s="88">
        <f>SUM(N4:N11)+SUM(N14:N17)</f>
        <v>0</v>
      </c>
      <c r="O12" s="88">
        <f>SUM(O4:O11)+SUM(O14:O17)</f>
        <v>0</v>
      </c>
      <c r="P12" s="88">
        <f>SUM(P4:P11)+SUM(P14:P17)</f>
        <v>0</v>
      </c>
      <c r="Q12" s="88">
        <f>SUM(Q3:Q11)+SUM(Q14:Q17)</f>
        <v>0</v>
      </c>
      <c r="R12" s="88">
        <f>SUM(R3:R11)+SUM(R14:R17)</f>
        <v>0</v>
      </c>
      <c r="S12" s="88">
        <f t="shared" ref="S12:AK12" si="0">SUM(S3:S11)+SUM(S14:S17)</f>
        <v>0</v>
      </c>
      <c r="T12" s="88">
        <f t="shared" si="0"/>
        <v>0</v>
      </c>
      <c r="U12" s="88">
        <f t="shared" si="0"/>
        <v>0</v>
      </c>
      <c r="V12" s="88">
        <f t="shared" si="0"/>
        <v>0</v>
      </c>
      <c r="W12" s="88">
        <f t="shared" si="0"/>
        <v>0</v>
      </c>
      <c r="X12" s="88">
        <f t="shared" si="0"/>
        <v>0</v>
      </c>
      <c r="Y12" s="88">
        <f t="shared" si="0"/>
        <v>0</v>
      </c>
      <c r="Z12" s="88">
        <f t="shared" si="0"/>
        <v>0</v>
      </c>
      <c r="AC12" s="88">
        <f t="shared" si="0"/>
        <v>0</v>
      </c>
      <c r="AD12" s="88">
        <f t="shared" si="0"/>
        <v>0</v>
      </c>
      <c r="AE12" s="88">
        <f t="shared" si="0"/>
        <v>0</v>
      </c>
      <c r="AF12" s="88">
        <f t="shared" si="0"/>
        <v>0</v>
      </c>
      <c r="AG12" s="88">
        <f t="shared" si="0"/>
        <v>0</v>
      </c>
      <c r="AH12" s="88">
        <f t="shared" si="0"/>
        <v>0</v>
      </c>
      <c r="AI12" s="88">
        <f t="shared" si="0"/>
        <v>0</v>
      </c>
      <c r="AJ12" s="88">
        <f>SUM(AJ3:AJ11)+SUM(AJ14:AJ17)</f>
        <v>0</v>
      </c>
      <c r="AK12" s="88">
        <f t="shared" si="0"/>
        <v>0</v>
      </c>
    </row>
    <row r="13" spans="1:42">
      <c r="A13" s="89" t="s">
        <v>239</v>
      </c>
      <c r="B13" s="90" t="s">
        <v>262</v>
      </c>
      <c r="C13" s="90"/>
    </row>
    <row r="14" spans="1:42">
      <c r="A14" s="87" t="s">
        <v>131</v>
      </c>
    </row>
    <row r="15" spans="1:42">
      <c r="A15" s="87" t="s">
        <v>132</v>
      </c>
    </row>
    <row r="16" spans="1:42">
      <c r="A16" s="87" t="s">
        <v>191</v>
      </c>
    </row>
    <row r="17" spans="1:42">
      <c r="A17" s="87" t="s">
        <v>192</v>
      </c>
    </row>
    <row r="20" spans="1:42">
      <c r="AP20" s="46"/>
    </row>
    <row r="29" spans="1:42">
      <c r="A29" s="91" t="s">
        <v>241</v>
      </c>
    </row>
    <row r="30" spans="1:42" s="86" customFormat="1">
      <c r="A30" s="86" t="s">
        <v>0</v>
      </c>
    </row>
    <row r="31" spans="1:42">
      <c r="AP31" s="46"/>
    </row>
    <row r="32" spans="1:42">
      <c r="AP32" s="46"/>
    </row>
    <row r="99" spans="1:42">
      <c r="A99" s="91" t="s">
        <v>241</v>
      </c>
    </row>
    <row r="100" spans="1:42" s="86" customFormat="1">
      <c r="A100" s="86" t="s">
        <v>89</v>
      </c>
    </row>
    <row r="101" spans="1:42">
      <c r="AP101" s="46"/>
    </row>
    <row r="102" spans="1:42">
      <c r="AP102" s="46"/>
    </row>
    <row r="103" spans="1:42">
      <c r="AP103" s="46"/>
    </row>
    <row r="104" spans="1:42">
      <c r="AP104" s="46"/>
    </row>
    <row r="105" spans="1:42">
      <c r="AP105" s="46"/>
    </row>
    <row r="106" spans="1:42">
      <c r="AP106" s="46"/>
    </row>
    <row r="107" spans="1:42">
      <c r="AP107" s="46"/>
    </row>
    <row r="108" spans="1:42">
      <c r="AP108" s="46"/>
    </row>
    <row r="109" spans="1:42">
      <c r="AP109" s="46"/>
    </row>
    <row r="110" spans="1:42">
      <c r="AP110" s="46"/>
    </row>
    <row r="111" spans="1:42">
      <c r="AP111" s="46"/>
    </row>
    <row r="112" spans="1:42">
      <c r="AP112" s="46"/>
    </row>
    <row r="113" spans="42:42">
      <c r="AP113" s="46"/>
    </row>
    <row r="114" spans="42:42">
      <c r="AP114" s="46"/>
    </row>
    <row r="115" spans="42:42">
      <c r="AP115" s="46"/>
    </row>
    <row r="116" spans="42:42">
      <c r="AP116" s="46"/>
    </row>
    <row r="117" spans="42:42">
      <c r="AP117" s="46"/>
    </row>
    <row r="118" spans="42:42">
      <c r="AP118" s="46"/>
    </row>
    <row r="119" spans="42:42">
      <c r="AP119" s="46"/>
    </row>
    <row r="120" spans="42:42">
      <c r="AP120" s="46"/>
    </row>
    <row r="121" spans="42:42">
      <c r="AP121" s="46"/>
    </row>
    <row r="122" spans="42:42">
      <c r="AP122" s="46"/>
    </row>
    <row r="123" spans="42:42">
      <c r="AP123" s="46"/>
    </row>
    <row r="124" spans="42:42">
      <c r="AP124" s="46"/>
    </row>
    <row r="125" spans="42:42">
      <c r="AP125" s="46"/>
    </row>
    <row r="126" spans="42:42">
      <c r="AP126" s="46"/>
    </row>
    <row r="127" spans="42:42">
      <c r="AP127" s="46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map"/>
  <dimension ref="A1:ER166"/>
  <sheetViews>
    <sheetView zoomScale="60" zoomScaleNormal="60" workbookViewId="0">
      <selection activeCell="DI6" sqref="DI6"/>
    </sheetView>
  </sheetViews>
  <sheetFormatPr baseColWidth="10" defaultColWidth="2.7109375" defaultRowHeight="15" customHeight="1"/>
  <cols>
    <col min="120" max="120" width="5.85546875" customWidth="1"/>
    <col min="121" max="121" width="5.5703125" bestFit="1" customWidth="1"/>
    <col min="122" max="122" width="6.7109375" bestFit="1" customWidth="1"/>
    <col min="123" max="123" width="5.85546875" bestFit="1" customWidth="1"/>
    <col min="124" max="124" width="6.7109375" bestFit="1" customWidth="1"/>
    <col min="125" max="130" width="7.7109375" customWidth="1"/>
  </cols>
  <sheetData>
    <row r="1" spans="1:127" ht="1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27" ht="15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</row>
    <row r="3" spans="1:127" ht="1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27" ht="15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27" ht="1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</row>
    <row r="6" spans="1:127" ht="15" customHeight="1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27" ht="15" customHeigh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27" ht="15" customHeight="1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27" ht="15" customHeight="1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27" ht="15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DO10" s="41" t="s">
        <v>194</v>
      </c>
      <c r="DP10" s="43">
        <v>73</v>
      </c>
    </row>
    <row r="11" spans="1:127" ht="15" customHeight="1">
      <c r="A11" s="3"/>
      <c r="B11" s="3"/>
      <c r="C11" s="3"/>
      <c r="D11" s="3"/>
      <c r="E11" s="3"/>
      <c r="F11" s="3"/>
      <c r="G11" s="3"/>
      <c r="H11" s="3"/>
      <c r="I11" s="3"/>
      <c r="J11" s="3"/>
      <c r="K11" s="135"/>
      <c r="L11" s="117"/>
      <c r="M11" s="117"/>
      <c r="N11" s="163"/>
      <c r="O11" s="5"/>
      <c r="P11" s="5"/>
      <c r="Q11" s="9" t="s">
        <v>87</v>
      </c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9" t="s">
        <v>87</v>
      </c>
      <c r="AD11" s="5"/>
      <c r="AE11" s="5"/>
      <c r="AF11" s="5"/>
      <c r="AG11" s="5"/>
      <c r="AH11" s="5"/>
      <c r="AI11" s="5"/>
      <c r="AJ11" s="5"/>
      <c r="AK11" s="5"/>
      <c r="AL11" s="5"/>
      <c r="AM11" s="171"/>
      <c r="AN11" s="5"/>
      <c r="AO11" s="5"/>
      <c r="AP11" s="5"/>
      <c r="AQ11" s="5"/>
      <c r="AR11" s="5"/>
      <c r="AS11" s="5"/>
      <c r="AT11" s="9" t="s">
        <v>87</v>
      </c>
      <c r="AU11" s="5"/>
      <c r="AV11" s="172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7" t="s">
        <v>1</v>
      </c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DO11" s="41" t="s">
        <v>195</v>
      </c>
      <c r="DP11" s="43">
        <v>11</v>
      </c>
    </row>
    <row r="12" spans="1:127" ht="15" customHeight="1">
      <c r="A12" s="3"/>
      <c r="B12" s="3"/>
      <c r="C12" s="3"/>
      <c r="D12" s="3"/>
      <c r="E12" s="3"/>
      <c r="F12" s="3"/>
      <c r="G12" s="3"/>
      <c r="H12" s="3"/>
      <c r="I12" s="3"/>
      <c r="J12" s="3"/>
      <c r="K12" s="117"/>
      <c r="L12" s="117"/>
      <c r="M12" s="117"/>
      <c r="N12" s="159"/>
      <c r="O12" s="5"/>
      <c r="P12" s="173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74"/>
      <c r="AK12" s="5"/>
      <c r="AL12" s="5"/>
      <c r="AM12" s="5"/>
      <c r="AN12" s="5"/>
      <c r="AO12" s="5"/>
      <c r="AP12" s="175"/>
      <c r="AQ12" s="9" t="s">
        <v>87</v>
      </c>
      <c r="AR12" s="5"/>
      <c r="AS12" s="5"/>
      <c r="AT12" s="5"/>
      <c r="AU12" s="9" t="s">
        <v>87</v>
      </c>
      <c r="AV12" s="5"/>
      <c r="AW12" s="176"/>
      <c r="AX12" s="177"/>
      <c r="AY12" s="5"/>
      <c r="AZ12" s="178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DO12" s="41" t="s">
        <v>196</v>
      </c>
      <c r="DP12" s="43">
        <v>11</v>
      </c>
    </row>
    <row r="13" spans="1:127" ht="15" customHeight="1">
      <c r="A13" s="3"/>
      <c r="B13" s="3"/>
      <c r="C13" s="3"/>
      <c r="D13" s="3"/>
      <c r="E13" s="3"/>
      <c r="F13" s="3"/>
      <c r="G13" s="3"/>
      <c r="H13" s="3"/>
      <c r="I13" s="3"/>
      <c r="J13" s="3"/>
      <c r="K13" s="159"/>
      <c r="L13" s="136"/>
      <c r="M13" s="123"/>
      <c r="N13" s="135"/>
      <c r="O13" s="126"/>
      <c r="P13" s="137"/>
      <c r="Q13" s="143"/>
      <c r="R13" s="5"/>
      <c r="S13" s="5"/>
      <c r="T13" s="5"/>
      <c r="U13" s="5"/>
      <c r="V13" s="5"/>
      <c r="W13" s="5"/>
      <c r="X13" s="5"/>
      <c r="Y13" s="5"/>
      <c r="Z13" s="5"/>
      <c r="AA13" s="5"/>
      <c r="AB13" s="179"/>
      <c r="AC13" s="9" t="s">
        <v>87</v>
      </c>
      <c r="AD13" s="5"/>
      <c r="AE13" s="5"/>
      <c r="AF13" s="5"/>
      <c r="AG13" s="5"/>
      <c r="AH13" s="5"/>
      <c r="AI13" s="5"/>
      <c r="AJ13" s="5"/>
      <c r="AK13" s="180"/>
      <c r="AL13" s="181"/>
      <c r="AM13" s="182"/>
      <c r="AN13" s="183"/>
      <c r="AO13" s="5"/>
      <c r="AP13" s="5"/>
      <c r="AQ13" s="184"/>
      <c r="AR13" s="5"/>
      <c r="AS13" s="5"/>
      <c r="AT13" s="5"/>
      <c r="AU13" s="5"/>
      <c r="AV13" s="5"/>
      <c r="AW13" s="185"/>
      <c r="AX13" s="186"/>
      <c r="AY13" s="5"/>
      <c r="AZ13" s="187"/>
      <c r="BA13" s="5"/>
      <c r="BB13" s="5"/>
      <c r="BC13" s="5"/>
      <c r="BD13" s="5"/>
      <c r="BE13" s="5"/>
      <c r="BF13" s="5"/>
      <c r="BG13" s="5"/>
      <c r="BH13" s="188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DO13" s="41" t="s">
        <v>197</v>
      </c>
      <c r="DP13" s="43">
        <v>73</v>
      </c>
    </row>
    <row r="14" spans="1:127" ht="1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5"/>
      <c r="L14" s="5"/>
      <c r="M14" s="123"/>
      <c r="N14" s="117"/>
      <c r="O14" s="117"/>
      <c r="P14" s="117"/>
      <c r="Q14" s="130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189"/>
      <c r="AD14" s="190"/>
      <c r="AE14" s="5"/>
      <c r="AF14" s="191"/>
      <c r="AG14" s="5"/>
      <c r="AH14" s="5"/>
      <c r="AI14" s="5"/>
      <c r="AJ14" s="5"/>
      <c r="AK14" s="5"/>
      <c r="AL14" s="5"/>
      <c r="AM14" s="5"/>
      <c r="AN14" s="192"/>
      <c r="AO14" s="193"/>
      <c r="AP14" s="194"/>
      <c r="AQ14" s="5"/>
      <c r="AR14" s="5"/>
      <c r="AS14" s="5"/>
      <c r="AT14" s="5"/>
      <c r="AU14" s="5"/>
      <c r="AV14" s="5"/>
      <c r="AW14" s="5"/>
      <c r="AX14" s="195"/>
      <c r="AY14" s="5"/>
      <c r="AZ14" s="5"/>
      <c r="BA14" s="196"/>
      <c r="BB14" s="5"/>
      <c r="BC14" s="5"/>
      <c r="BD14" s="5"/>
      <c r="BE14" s="5"/>
      <c r="BF14" s="5"/>
      <c r="BG14" s="5"/>
      <c r="BH14" s="5"/>
      <c r="BI14" s="197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DO14" s="41" t="s">
        <v>193</v>
      </c>
      <c r="DP14" s="43">
        <v>1</v>
      </c>
      <c r="DU14" t="s">
        <v>252</v>
      </c>
      <c r="DV14" t="s">
        <v>251</v>
      </c>
      <c r="DW14" t="s">
        <v>253</v>
      </c>
    </row>
    <row r="15" spans="1:127" ht="1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5"/>
      <c r="L15" s="5"/>
      <c r="M15" s="144"/>
      <c r="N15" s="117"/>
      <c r="O15" s="117"/>
      <c r="P15" s="117"/>
      <c r="Q15" s="131"/>
      <c r="R15" s="137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198"/>
      <c r="AE15" s="5"/>
      <c r="AF15" s="5"/>
      <c r="AG15" s="5"/>
      <c r="AH15" s="5"/>
      <c r="AI15" s="5"/>
      <c r="AJ15" s="5"/>
      <c r="AK15" s="5"/>
      <c r="AL15" s="199"/>
      <c r="AM15" s="5"/>
      <c r="AN15" s="200"/>
      <c r="AO15" s="201"/>
      <c r="AP15" s="202"/>
      <c r="AQ15" s="5"/>
      <c r="AR15" s="203"/>
      <c r="AS15" s="204"/>
      <c r="AT15" s="205"/>
      <c r="AU15" s="5"/>
      <c r="AV15" s="5"/>
      <c r="AW15" s="5"/>
      <c r="AX15" s="5"/>
      <c r="AY15" s="5"/>
      <c r="AZ15" s="206"/>
      <c r="BA15" s="5"/>
      <c r="BB15" s="207"/>
      <c r="BC15" s="208"/>
      <c r="BD15" s="209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DO15" s="41" t="s">
        <v>250</v>
      </c>
      <c r="DP15" s="43">
        <v>1</v>
      </c>
      <c r="DU15" s="51">
        <f>ABS(DP15-1)</f>
        <v>0</v>
      </c>
      <c r="DV15" s="51">
        <f>ABS(DP15-2)</f>
        <v>1</v>
      </c>
      <c r="DW15" s="51">
        <f>ABS(DP15-3)</f>
        <v>2</v>
      </c>
    </row>
    <row r="16" spans="1:127" ht="1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5"/>
      <c r="L16" s="5"/>
      <c r="M16" s="151"/>
      <c r="N16" s="166"/>
      <c r="O16" s="156"/>
      <c r="P16" s="117"/>
      <c r="Q16" s="117"/>
      <c r="R16" s="128"/>
      <c r="S16" s="5"/>
      <c r="T16" s="210"/>
      <c r="U16" s="5"/>
      <c r="V16" s="5"/>
      <c r="W16" s="5"/>
      <c r="X16" s="5"/>
      <c r="Y16" s="5"/>
      <c r="Z16" s="5"/>
      <c r="AA16" s="211"/>
      <c r="AB16" s="5"/>
      <c r="AC16" s="5"/>
      <c r="AD16" s="8" t="s">
        <v>87</v>
      </c>
      <c r="AE16" s="5"/>
      <c r="AF16" s="9" t="s">
        <v>87</v>
      </c>
      <c r="AG16" s="5"/>
      <c r="AH16" s="5"/>
      <c r="AI16" s="5"/>
      <c r="AJ16" s="5"/>
      <c r="AK16" s="5"/>
      <c r="AL16" s="5"/>
      <c r="AM16" s="212"/>
      <c r="AN16" s="213"/>
      <c r="AO16" s="214"/>
      <c r="AP16" s="5"/>
      <c r="AQ16" s="5"/>
      <c r="AR16" s="5"/>
      <c r="AS16" s="5"/>
      <c r="AT16" s="215"/>
      <c r="AU16" s="5"/>
      <c r="AV16" s="5"/>
      <c r="AW16" s="5"/>
      <c r="AX16" s="216"/>
      <c r="AY16" s="5"/>
      <c r="AZ16" s="5"/>
      <c r="BA16" s="5"/>
      <c r="BB16" s="5"/>
      <c r="BC16" s="217"/>
      <c r="BD16" s="5"/>
      <c r="BE16" s="218"/>
      <c r="BF16" s="219"/>
      <c r="BG16" s="5"/>
      <c r="BH16" s="5"/>
      <c r="BI16" s="220"/>
      <c r="BJ16" s="9" t="s">
        <v>87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DO16" s="41"/>
      <c r="DP16" s="43"/>
      <c r="DU16" s="56">
        <f>IF(DU15=0,1,0)</f>
        <v>1</v>
      </c>
      <c r="DV16" s="56">
        <f t="shared" ref="DV16:DW16" si="0">IF(DV15=0,1,0)</f>
        <v>0</v>
      </c>
      <c r="DW16" s="56">
        <f t="shared" si="0"/>
        <v>0</v>
      </c>
    </row>
    <row r="17" spans="1:148" ht="1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5"/>
      <c r="L17" s="5"/>
      <c r="M17" s="5"/>
      <c r="N17" s="5"/>
      <c r="O17" s="152"/>
      <c r="P17" s="117"/>
      <c r="Q17" s="117"/>
      <c r="R17" s="138"/>
      <c r="S17" s="132"/>
      <c r="T17" s="5"/>
      <c r="U17" s="5"/>
      <c r="V17" s="5"/>
      <c r="W17" s="5"/>
      <c r="X17" s="221"/>
      <c r="Y17" s="5"/>
      <c r="Z17" s="5"/>
      <c r="AA17" s="5"/>
      <c r="AB17" s="5"/>
      <c r="AC17" s="222"/>
      <c r="AD17" s="223"/>
      <c r="AE17" s="5"/>
      <c r="AF17" s="224"/>
      <c r="AG17" s="225"/>
      <c r="AH17" s="5"/>
      <c r="AI17" s="5"/>
      <c r="AJ17" s="5"/>
      <c r="AK17" s="8" t="s">
        <v>87</v>
      </c>
      <c r="AL17" s="5"/>
      <c r="AM17" s="5"/>
      <c r="AN17" s="5"/>
      <c r="AO17" s="5"/>
      <c r="AP17" s="5"/>
      <c r="AQ17" s="5"/>
      <c r="AR17" s="5"/>
      <c r="AS17" s="226"/>
      <c r="AT17" s="227"/>
      <c r="AU17" s="5"/>
      <c r="AV17" s="5"/>
      <c r="AW17" s="5"/>
      <c r="AX17" s="5"/>
      <c r="AY17" s="228"/>
      <c r="AZ17" s="5"/>
      <c r="BA17" s="5"/>
      <c r="BB17" s="5"/>
      <c r="BC17" s="5"/>
      <c r="BD17" s="229"/>
      <c r="BE17" s="230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DO17" s="41"/>
      <c r="DP17" s="43"/>
    </row>
    <row r="18" spans="1:148" ht="1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5"/>
      <c r="L18" s="5"/>
      <c r="M18" s="5"/>
      <c r="N18" s="5"/>
      <c r="O18" s="162"/>
      <c r="P18" s="128"/>
      <c r="Q18" s="117"/>
      <c r="R18" s="117"/>
      <c r="S18" s="145"/>
      <c r="T18" s="5"/>
      <c r="U18" s="231"/>
      <c r="V18" s="5"/>
      <c r="W18" s="5"/>
      <c r="X18" s="5"/>
      <c r="Y18" s="5"/>
      <c r="Z18" s="5"/>
      <c r="AA18" s="5"/>
      <c r="AB18" s="9" t="s">
        <v>87</v>
      </c>
      <c r="AC18" s="232"/>
      <c r="AD18" s="233"/>
      <c r="AE18" s="234"/>
      <c r="AF18" s="5"/>
      <c r="AG18" s="5"/>
      <c r="AH18" s="9" t="s">
        <v>87</v>
      </c>
      <c r="AI18" s="5"/>
      <c r="AJ18" s="5"/>
      <c r="AK18" s="9" t="s">
        <v>87</v>
      </c>
      <c r="AL18" s="5"/>
      <c r="AM18" s="5"/>
      <c r="AN18" s="5"/>
      <c r="AO18" s="5"/>
      <c r="AP18" s="5"/>
      <c r="AQ18" s="235"/>
      <c r="AR18" s="5"/>
      <c r="AS18" s="5"/>
      <c r="AT18" s="5"/>
      <c r="AU18" s="5"/>
      <c r="AV18" s="236"/>
      <c r="AW18" s="5"/>
      <c r="AX18" s="5"/>
      <c r="AY18" s="5"/>
      <c r="AZ18" s="5"/>
      <c r="BA18" s="5"/>
      <c r="BB18" s="5"/>
      <c r="BC18" s="237"/>
      <c r="BD18" s="5"/>
      <c r="BE18" s="5"/>
      <c r="BF18" s="238"/>
      <c r="BG18" s="5"/>
      <c r="BH18" s="5"/>
      <c r="BI18" s="5"/>
      <c r="BJ18" s="5"/>
      <c r="BK18" s="5"/>
      <c r="BL18" s="5"/>
      <c r="BM18" s="5"/>
      <c r="BN18" s="5"/>
      <c r="BO18" s="8" t="s">
        <v>87</v>
      </c>
      <c r="BP18" s="5"/>
      <c r="BQ18" s="5"/>
      <c r="BR18" s="5"/>
      <c r="BS18" s="5"/>
      <c r="BT18" s="5"/>
      <c r="BU18" s="5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DO18" s="41"/>
      <c r="DP18" s="43"/>
      <c r="DU18" s="550" t="s">
        <v>254</v>
      </c>
      <c r="DV18" s="550"/>
      <c r="DW18" s="550"/>
      <c r="DX18" s="550" t="s">
        <v>255</v>
      </c>
      <c r="DY18" s="550"/>
      <c r="DZ18" s="550"/>
    </row>
    <row r="19" spans="1:148" ht="1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239"/>
      <c r="L19" s="5"/>
      <c r="M19" s="5"/>
      <c r="N19" s="5"/>
      <c r="O19" s="240"/>
      <c r="P19" s="166"/>
      <c r="Q19" s="130"/>
      <c r="R19" s="159"/>
      <c r="S19" s="130"/>
      <c r="T19" s="5"/>
      <c r="U19" s="5"/>
      <c r="V19" s="5"/>
      <c r="W19" s="241"/>
      <c r="X19" s="5"/>
      <c r="Y19" s="5"/>
      <c r="Z19" s="5"/>
      <c r="AA19" s="5"/>
      <c r="AB19" s="5"/>
      <c r="AC19" s="242"/>
      <c r="AD19" s="5"/>
      <c r="AE19" s="243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244"/>
      <c r="AS19" s="94" t="s">
        <v>87</v>
      </c>
      <c r="AT19" s="245"/>
      <c r="AU19" s="5"/>
      <c r="AV19" s="5"/>
      <c r="AW19" s="5"/>
      <c r="AX19" s="5"/>
      <c r="AY19" s="5"/>
      <c r="AZ19" s="9" t="s">
        <v>87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DO19" s="41"/>
      <c r="DP19" s="43" t="s">
        <v>208</v>
      </c>
      <c r="DQ19" s="2" t="s">
        <v>209</v>
      </c>
      <c r="DR19" s="2" t="s">
        <v>210</v>
      </c>
      <c r="DS19" s="47" t="s">
        <v>211</v>
      </c>
      <c r="DT19" s="2"/>
      <c r="DU19" s="47" t="s">
        <v>244</v>
      </c>
      <c r="DV19" s="47" t="s">
        <v>245</v>
      </c>
      <c r="DW19" s="47" t="s">
        <v>246</v>
      </c>
      <c r="DX19" s="47" t="s">
        <v>247</v>
      </c>
      <c r="DY19" s="47" t="s">
        <v>248</v>
      </c>
      <c r="DZ19" s="47" t="s">
        <v>249</v>
      </c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</row>
    <row r="20" spans="1:148" ht="1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5"/>
      <c r="L20" s="246"/>
      <c r="M20" s="247"/>
      <c r="N20" s="248"/>
      <c r="O20" s="5"/>
      <c r="P20" s="249"/>
      <c r="Q20" s="250"/>
      <c r="R20" s="150"/>
      <c r="S20" s="128"/>
      <c r="T20" s="152"/>
      <c r="U20" s="139"/>
      <c r="V20" s="5"/>
      <c r="W20" s="5"/>
      <c r="X20" s="251"/>
      <c r="Y20" s="5"/>
      <c r="Z20" s="5"/>
      <c r="AA20" s="5"/>
      <c r="AB20" s="252"/>
      <c r="AC20" s="5"/>
      <c r="AD20" s="5"/>
      <c r="AE20" s="253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9" t="s">
        <v>87</v>
      </c>
      <c r="AR20" s="5"/>
      <c r="AS20" s="5"/>
      <c r="AT20" s="5"/>
      <c r="AU20" s="5"/>
      <c r="AV20" s="5"/>
      <c r="AW20" s="5"/>
      <c r="AX20" s="5"/>
      <c r="AY20" s="5"/>
      <c r="AZ20" s="254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255"/>
      <c r="BN20" s="5"/>
      <c r="BO20" s="5"/>
      <c r="BP20" s="5"/>
      <c r="BQ20" s="9" t="s">
        <v>87</v>
      </c>
      <c r="BR20" s="5"/>
      <c r="BS20" s="5"/>
      <c r="BT20" s="5"/>
      <c r="BU20" s="5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DL20" s="2"/>
      <c r="DM20" s="2"/>
      <c r="DN20" s="2"/>
      <c r="DO20" s="41" t="s">
        <v>204</v>
      </c>
      <c r="DP20" s="43">
        <f>LOOKUP(DP14,DP32:DP131,DU32:DU131)</f>
        <v>15</v>
      </c>
      <c r="DQ20" s="44">
        <f>LOOKUP(DP14,DP32:DP131,DQ32:DQ131)</f>
        <v>5</v>
      </c>
      <c r="DR20" s="44">
        <f>LOOKUP(DP14,DP32:DP131,DR32:DR131)</f>
        <v>53</v>
      </c>
      <c r="DS20" s="44">
        <f>LOOKUP(DP14,DP32:DP131,DT32:DT131)</f>
        <v>20</v>
      </c>
      <c r="DT20" s="44"/>
      <c r="DU20" s="59">
        <f>INT(($DP$14/4)+$DP$14/5*$DV$16)</f>
        <v>0</v>
      </c>
      <c r="DV20" s="59">
        <f>INT(($DP$14/4)+$DP$14/5*$DU$16)</f>
        <v>0</v>
      </c>
      <c r="DW20" s="59">
        <f>INT(($DP$14/4)+$DP$14/5*$DW$16)</f>
        <v>0</v>
      </c>
      <c r="DX20" s="59">
        <f>$DP$14*$DW$16</f>
        <v>0</v>
      </c>
      <c r="DY20" s="59">
        <f>$DP$14*$DV$16</f>
        <v>0</v>
      </c>
      <c r="DZ20" s="59">
        <f>$DP$14*$DU$16</f>
        <v>1</v>
      </c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</row>
    <row r="21" spans="1:148" ht="1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5"/>
      <c r="L21" s="5"/>
      <c r="M21" s="5"/>
      <c r="N21" s="5"/>
      <c r="O21" s="256"/>
      <c r="P21" s="257"/>
      <c r="Q21" s="160"/>
      <c r="R21" s="141"/>
      <c r="S21" s="117"/>
      <c r="T21" s="149"/>
      <c r="U21" s="118"/>
      <c r="V21" s="258"/>
      <c r="W21" s="5"/>
      <c r="X21" s="5"/>
      <c r="Y21" s="5"/>
      <c r="Z21" s="5"/>
      <c r="AA21" s="5"/>
      <c r="AB21" s="259"/>
      <c r="AC21" s="5"/>
      <c r="AD21" s="9" t="s">
        <v>87</v>
      </c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260"/>
      <c r="AY21" s="261"/>
      <c r="AZ21" s="5"/>
      <c r="BA21" s="5"/>
      <c r="BB21" s="5"/>
      <c r="BC21" s="5"/>
      <c r="BD21" s="8" t="s">
        <v>87</v>
      </c>
      <c r="BE21" s="5"/>
      <c r="BF21" s="5"/>
      <c r="BG21" s="5"/>
      <c r="BH21" s="5"/>
      <c r="BI21" s="5"/>
      <c r="BJ21" s="5"/>
      <c r="BK21" s="5"/>
      <c r="BL21" s="5"/>
      <c r="BM21" s="5"/>
      <c r="BN21" s="262"/>
      <c r="BO21" s="5"/>
      <c r="BP21" s="263"/>
      <c r="BQ21" s="5"/>
      <c r="BR21" s="5"/>
      <c r="BS21" s="5"/>
      <c r="BT21" s="5"/>
      <c r="BU21" s="5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DL21" s="2"/>
      <c r="DM21" s="2"/>
      <c r="DN21" s="2"/>
      <c r="DO21" s="42" t="s">
        <v>205</v>
      </c>
      <c r="DP21" s="44">
        <f>INT(DP20*2.87)</f>
        <v>43</v>
      </c>
      <c r="DQ21" s="44">
        <f>INT(DQ20*1.3)</f>
        <v>6</v>
      </c>
      <c r="DR21" s="44">
        <f>DR20</f>
        <v>53</v>
      </c>
      <c r="DS21" s="44">
        <f>INT(DS20*3.5)</f>
        <v>70</v>
      </c>
      <c r="DT21" s="44"/>
      <c r="DU21" s="59">
        <f>INT((5 + ($DP$14/4))+$DP$14/5*$DV$16)</f>
        <v>5</v>
      </c>
      <c r="DV21" s="59">
        <f>INT((5 + ($DP$14/4))+$DP$14/5*$DU$16)</f>
        <v>5</v>
      </c>
      <c r="DW21" s="59">
        <f>INT((5 + ($DP$14/4))+$DP$14/5*$DW$16)</f>
        <v>5</v>
      </c>
      <c r="DX21" s="59"/>
      <c r="DY21" s="59"/>
      <c r="DZ21" s="59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</row>
    <row r="22" spans="1:148" ht="1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5"/>
      <c r="L22" s="264"/>
      <c r="M22" s="5"/>
      <c r="N22" s="265"/>
      <c r="O22" s="5"/>
      <c r="P22" s="266"/>
      <c r="Q22" s="124"/>
      <c r="R22" s="117"/>
      <c r="S22" s="156"/>
      <c r="T22" s="143"/>
      <c r="U22" s="5"/>
      <c r="V22" s="5"/>
      <c r="W22" s="127"/>
      <c r="X22" s="149"/>
      <c r="Y22" s="149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67"/>
      <c r="AZ22" s="268"/>
      <c r="BA22" s="5"/>
      <c r="BB22" s="5"/>
      <c r="BC22" s="5"/>
      <c r="BD22" s="5"/>
      <c r="BE22" s="5"/>
      <c r="BF22" s="5"/>
      <c r="BG22" s="5"/>
      <c r="BH22" s="5"/>
      <c r="BI22" s="5"/>
      <c r="BJ22" s="269"/>
      <c r="BK22" s="5"/>
      <c r="BL22" s="5"/>
      <c r="BM22" s="5"/>
      <c r="BN22" s="270"/>
      <c r="BO22" s="271"/>
      <c r="BP22" s="5"/>
      <c r="BQ22" s="5"/>
      <c r="BR22" s="5"/>
      <c r="BS22" s="5"/>
      <c r="BT22" s="5"/>
      <c r="BU22" s="5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DK22" s="2"/>
      <c r="DL22" s="2"/>
      <c r="DM22" s="2"/>
      <c r="DN22" s="2"/>
      <c r="DO22" s="42" t="s">
        <v>206</v>
      </c>
      <c r="DP22" s="44">
        <f>INT(DP20*5.63)</f>
        <v>84</v>
      </c>
      <c r="DQ22" s="44">
        <f>INT(DQ20*1.5)</f>
        <v>7</v>
      </c>
      <c r="DR22" s="44">
        <f>DR20</f>
        <v>53</v>
      </c>
      <c r="DS22" s="44">
        <f>INT(DS20*8.5)</f>
        <v>170</v>
      </c>
      <c r="DT22" s="44"/>
      <c r="DU22" s="59">
        <f>INT((10 + ($DP$14)/4)+$DP$14/5*$DV$16)</f>
        <v>10</v>
      </c>
      <c r="DV22" s="59">
        <f>INT((10 + ($DP$14)/4)+$DP$14/5*$DU$16)</f>
        <v>10</v>
      </c>
      <c r="DW22" s="59">
        <f>INT((10 + ($DP$14)/4)+$DP$14/5*$DW$16)</f>
        <v>10</v>
      </c>
      <c r="DX22" s="59"/>
      <c r="DY22" s="59"/>
      <c r="DZ22" s="59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</row>
    <row r="23" spans="1:148" ht="1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5"/>
      <c r="L23" s="272"/>
      <c r="M23" s="273"/>
      <c r="N23" s="274"/>
      <c r="O23" s="5"/>
      <c r="P23" s="5"/>
      <c r="Q23" s="143"/>
      <c r="R23" s="141"/>
      <c r="S23" s="119"/>
      <c r="T23" s="5"/>
      <c r="U23" s="5"/>
      <c r="V23" s="5"/>
      <c r="W23" s="124"/>
      <c r="X23" s="117"/>
      <c r="Y23" s="130"/>
      <c r="Z23" s="5"/>
      <c r="AA23" s="5"/>
      <c r="AB23" s="5"/>
      <c r="AC23" s="275"/>
      <c r="AD23" s="5"/>
      <c r="AE23" s="5"/>
      <c r="AF23" s="5"/>
      <c r="AG23" s="5"/>
      <c r="AH23" s="5"/>
      <c r="AI23" s="9" t="s">
        <v>87</v>
      </c>
      <c r="AJ23" s="5"/>
      <c r="AK23" s="5"/>
      <c r="AL23" s="5"/>
      <c r="AM23" s="5"/>
      <c r="AN23" s="5"/>
      <c r="AO23" s="128"/>
      <c r="AP23" s="163"/>
      <c r="AQ23" s="5"/>
      <c r="AR23" s="5"/>
      <c r="AS23" s="276"/>
      <c r="AT23" s="5"/>
      <c r="AU23" s="5"/>
      <c r="AV23" s="5"/>
      <c r="AW23" s="5"/>
      <c r="AX23" s="5"/>
      <c r="AY23" s="5"/>
      <c r="AZ23" s="5"/>
      <c r="BA23" s="9" t="s">
        <v>87</v>
      </c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8" t="s">
        <v>87</v>
      </c>
      <c r="BU23" s="5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DO23" s="41" t="s">
        <v>207</v>
      </c>
      <c r="DP23" s="43">
        <f>INT(DP20*7.98)</f>
        <v>119</v>
      </c>
      <c r="DQ23" s="43">
        <f>INT(DQ20*1.7)</f>
        <v>8</v>
      </c>
      <c r="DR23" s="44">
        <f>DR20</f>
        <v>53</v>
      </c>
      <c r="DS23" s="44">
        <f>INT(DS20*12)</f>
        <v>240</v>
      </c>
      <c r="DT23" s="44"/>
      <c r="DU23" s="59">
        <f>INT((20 + ($DP$14/4))+$DP$14/5*$DV$16)</f>
        <v>20</v>
      </c>
      <c r="DV23" s="59">
        <f>INT((20 + ($DP$14/4))+$DP$14/5*$DU$16)</f>
        <v>20</v>
      </c>
      <c r="DW23" s="59">
        <f>INT((20 + ($DP$14/4))+$DP$14/5*$DW$16)</f>
        <v>20</v>
      </c>
      <c r="DX23" s="59"/>
      <c r="DY23" s="59"/>
      <c r="DZ23" s="59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</row>
    <row r="24" spans="1:148" ht="1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5"/>
      <c r="L24" s="5"/>
      <c r="M24" s="5"/>
      <c r="N24" s="5"/>
      <c r="O24" s="5"/>
      <c r="P24" s="158"/>
      <c r="Q24" s="149"/>
      <c r="R24" s="131"/>
      <c r="S24" s="5"/>
      <c r="T24" s="143"/>
      <c r="U24" s="142"/>
      <c r="V24" s="277"/>
      <c r="W24" s="120"/>
      <c r="X24" s="117"/>
      <c r="Y24" s="133"/>
      <c r="Z24" s="12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131"/>
      <c r="AP24" s="145"/>
      <c r="AQ24" s="137"/>
      <c r="AR24" s="5"/>
      <c r="AS24" s="9" t="s">
        <v>87</v>
      </c>
      <c r="AT24" s="9" t="s">
        <v>87</v>
      </c>
      <c r="AU24" s="278"/>
      <c r="AV24" s="279"/>
      <c r="AW24" s="280"/>
      <c r="AX24" s="5"/>
      <c r="AY24" s="5"/>
      <c r="AZ24" s="5"/>
      <c r="BA24" s="5"/>
      <c r="BB24" s="9" t="s">
        <v>87</v>
      </c>
      <c r="BC24" s="5"/>
      <c r="BD24" s="5"/>
      <c r="BE24" s="9" t="s">
        <v>87</v>
      </c>
      <c r="BF24" s="5"/>
      <c r="BG24" s="5"/>
      <c r="BH24" s="5"/>
      <c r="BI24" s="5"/>
      <c r="BJ24" s="5"/>
      <c r="BK24" s="5"/>
      <c r="BL24" s="5"/>
      <c r="BM24" s="5"/>
      <c r="BN24" s="5"/>
      <c r="BO24" s="281"/>
      <c r="BP24" s="5"/>
      <c r="BQ24" s="5"/>
      <c r="BR24" s="5"/>
      <c r="BS24" s="5"/>
      <c r="BT24" s="5"/>
      <c r="BU24" s="5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DO24" s="41"/>
      <c r="DP24" s="43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</row>
    <row r="25" spans="1:148" ht="1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5"/>
      <c r="L25" s="5"/>
      <c r="M25" s="5"/>
      <c r="N25" s="5"/>
      <c r="O25" s="138"/>
      <c r="P25" s="159"/>
      <c r="Q25" s="117"/>
      <c r="R25" s="129"/>
      <c r="S25" s="159"/>
      <c r="T25" s="149"/>
      <c r="U25" s="129"/>
      <c r="V25" s="5"/>
      <c r="W25" s="158"/>
      <c r="X25" s="117"/>
      <c r="Y25" s="117"/>
      <c r="Z25" s="136"/>
      <c r="AA25" s="122"/>
      <c r="AB25" s="123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163"/>
      <c r="AP25" s="117"/>
      <c r="AQ25" s="123"/>
      <c r="AR25" s="156"/>
      <c r="AS25" s="5"/>
      <c r="AT25" s="282"/>
      <c r="AU25" s="283"/>
      <c r="AV25" s="284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285"/>
      <c r="BN25" s="5"/>
      <c r="BO25" s="5"/>
      <c r="BP25" s="5"/>
      <c r="BQ25" s="286"/>
      <c r="BR25" s="287"/>
      <c r="BS25" s="5"/>
      <c r="BT25" s="5"/>
      <c r="BU25" s="5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DO25" s="41"/>
      <c r="DP25" s="43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</row>
    <row r="26" spans="1:148" ht="1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5"/>
      <c r="L26" s="5"/>
      <c r="M26" s="5"/>
      <c r="N26" s="5"/>
      <c r="O26" s="159"/>
      <c r="P26" s="132"/>
      <c r="Q26" s="117"/>
      <c r="R26" s="117"/>
      <c r="S26" s="117"/>
      <c r="T26" s="117"/>
      <c r="U26" s="164"/>
      <c r="V26" s="150"/>
      <c r="W26" s="159"/>
      <c r="X26" s="117"/>
      <c r="Y26" s="117"/>
      <c r="Z26" s="117"/>
      <c r="AA26" s="129"/>
      <c r="AB26" s="131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150"/>
      <c r="AO26" s="163"/>
      <c r="AP26" s="117"/>
      <c r="AQ26" s="117"/>
      <c r="AR26" s="155"/>
      <c r="AS26" s="5"/>
      <c r="AT26" s="288"/>
      <c r="AU26" s="289"/>
      <c r="AV26" s="290"/>
      <c r="AW26" s="291"/>
      <c r="AX26" s="5"/>
      <c r="AY26" s="5"/>
      <c r="AZ26" s="5"/>
      <c r="BA26" s="5"/>
      <c r="BB26" s="5"/>
      <c r="BC26" s="5"/>
      <c r="BD26" s="8" t="s">
        <v>87</v>
      </c>
      <c r="BE26" s="5"/>
      <c r="BF26" s="156"/>
      <c r="BG26" s="5"/>
      <c r="BH26" s="9" t="s">
        <v>87</v>
      </c>
      <c r="BI26" s="5"/>
      <c r="BJ26" s="5"/>
      <c r="BK26" s="5"/>
      <c r="BL26" s="5"/>
      <c r="BM26" s="94" t="s">
        <v>87</v>
      </c>
      <c r="BN26" s="5"/>
      <c r="BO26" s="292"/>
      <c r="BP26" s="293"/>
      <c r="BQ26" s="294"/>
      <c r="BR26" s="295"/>
      <c r="BS26" s="296"/>
      <c r="BT26" s="5"/>
      <c r="BU26" s="5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DO26" s="41"/>
      <c r="DP26" s="43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</row>
    <row r="27" spans="1:148" ht="1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5"/>
      <c r="L27" s="297"/>
      <c r="M27" s="5"/>
      <c r="N27" s="5"/>
      <c r="O27" s="5"/>
      <c r="P27" s="163"/>
      <c r="Q27" s="144"/>
      <c r="R27" s="143"/>
      <c r="S27" s="144"/>
      <c r="T27" s="141"/>
      <c r="U27" s="154"/>
      <c r="V27" s="117"/>
      <c r="W27" s="117"/>
      <c r="X27" s="117"/>
      <c r="Y27" s="148"/>
      <c r="Z27" s="160"/>
      <c r="AA27" s="116"/>
      <c r="AB27" s="5"/>
      <c r="AC27" s="5"/>
      <c r="AD27" s="9" t="s">
        <v>87</v>
      </c>
      <c r="AE27" s="5"/>
      <c r="AF27" s="5"/>
      <c r="AG27" s="5"/>
      <c r="AH27" s="8" t="s">
        <v>87</v>
      </c>
      <c r="AI27" s="5"/>
      <c r="AJ27" s="5"/>
      <c r="AK27" s="5"/>
      <c r="AL27" s="150"/>
      <c r="AM27" s="157"/>
      <c r="AN27" s="120"/>
      <c r="AO27" s="117"/>
      <c r="AP27" s="117"/>
      <c r="AQ27" s="135"/>
      <c r="AR27" s="144"/>
      <c r="AS27" s="5"/>
      <c r="AT27" s="5"/>
      <c r="AU27" s="298"/>
      <c r="AV27" s="299"/>
      <c r="AW27" s="5"/>
      <c r="AX27" s="300"/>
      <c r="AY27" s="301"/>
      <c r="AZ27" s="5"/>
      <c r="BA27" s="5"/>
      <c r="BB27" s="5"/>
      <c r="BC27" s="5"/>
      <c r="BD27" s="5"/>
      <c r="BE27" s="159"/>
      <c r="BF27" s="139"/>
      <c r="BG27" s="5"/>
      <c r="BH27" s="5"/>
      <c r="BI27" s="8" t="s">
        <v>87</v>
      </c>
      <c r="BJ27" s="5"/>
      <c r="BK27" s="5"/>
      <c r="BL27" s="5"/>
      <c r="BM27" s="5"/>
      <c r="BN27" s="302"/>
      <c r="BO27" s="5"/>
      <c r="BP27" s="303"/>
      <c r="BQ27" s="5"/>
      <c r="BR27" s="304"/>
      <c r="BS27" s="305"/>
      <c r="BT27" s="5"/>
      <c r="BU27" s="5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DO27" s="41"/>
      <c r="DP27" s="43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</row>
    <row r="28" spans="1:148" ht="1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5"/>
      <c r="L28" s="5"/>
      <c r="M28" s="306"/>
      <c r="N28" s="5"/>
      <c r="O28" s="307"/>
      <c r="P28" s="5"/>
      <c r="Q28" s="5"/>
      <c r="R28" s="5"/>
      <c r="S28" s="5"/>
      <c r="T28" s="5"/>
      <c r="U28" s="153"/>
      <c r="V28" s="141"/>
      <c r="W28" s="147"/>
      <c r="X28" s="142"/>
      <c r="Y28" s="123"/>
      <c r="Z28" s="5"/>
      <c r="AA28" s="308"/>
      <c r="AB28" s="5"/>
      <c r="AC28" s="5"/>
      <c r="AD28" s="5"/>
      <c r="AE28" s="5"/>
      <c r="AF28" s="9" t="s">
        <v>87</v>
      </c>
      <c r="AG28" s="5"/>
      <c r="AH28" s="5"/>
      <c r="AI28" s="5"/>
      <c r="AJ28" s="5"/>
      <c r="AK28" s="5"/>
      <c r="AL28" s="123"/>
      <c r="AM28" s="138"/>
      <c r="AN28" s="117"/>
      <c r="AO28" s="129"/>
      <c r="AP28" s="153"/>
      <c r="AQ28" s="126"/>
      <c r="AR28" s="5"/>
      <c r="AS28" s="5"/>
      <c r="AT28" s="5"/>
      <c r="AU28" s="136"/>
      <c r="AV28" s="5"/>
      <c r="AW28" s="5"/>
      <c r="AX28" s="309"/>
      <c r="AY28" s="5"/>
      <c r="AZ28" s="5"/>
      <c r="BA28" s="5"/>
      <c r="BB28" s="5"/>
      <c r="BC28" s="5"/>
      <c r="BD28" s="150"/>
      <c r="BE28" s="143"/>
      <c r="BF28" s="5"/>
      <c r="BG28" s="5"/>
      <c r="BH28" s="5"/>
      <c r="BI28" s="5"/>
      <c r="BJ28" s="5"/>
      <c r="BK28" s="5"/>
      <c r="BL28" s="310"/>
      <c r="BM28" s="311"/>
      <c r="BN28" s="312"/>
      <c r="BO28" s="313"/>
      <c r="BP28" s="314"/>
      <c r="BQ28" s="315"/>
      <c r="BR28" s="316"/>
      <c r="BS28" s="317"/>
      <c r="BT28" s="5"/>
      <c r="BU28" s="5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DO28" s="41"/>
      <c r="DP28" s="43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</row>
    <row r="29" spans="1:148" ht="1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5"/>
      <c r="L29" s="5"/>
      <c r="M29" s="318"/>
      <c r="N29" s="5"/>
      <c r="O29" s="319"/>
      <c r="P29" s="5"/>
      <c r="Q29" s="5"/>
      <c r="R29" s="9" t="s">
        <v>87</v>
      </c>
      <c r="S29" s="5"/>
      <c r="T29" s="5"/>
      <c r="U29" s="8" t="s">
        <v>87</v>
      </c>
      <c r="V29" s="5"/>
      <c r="W29" s="320"/>
      <c r="X29" s="5"/>
      <c r="Y29" s="5"/>
      <c r="Z29" s="321"/>
      <c r="AA29" s="322"/>
      <c r="AB29" s="5"/>
      <c r="AC29" s="5"/>
      <c r="AD29" s="5"/>
      <c r="AE29" s="5"/>
      <c r="AF29" s="5"/>
      <c r="AG29" s="9" t="s">
        <v>87</v>
      </c>
      <c r="AH29" s="5"/>
      <c r="AI29" s="5"/>
      <c r="AJ29" s="5"/>
      <c r="AK29" s="5"/>
      <c r="AL29" s="5"/>
      <c r="AM29" s="159"/>
      <c r="AN29" s="138"/>
      <c r="AO29" s="124"/>
      <c r="AP29" s="5"/>
      <c r="AQ29" s="5"/>
      <c r="AR29" s="5"/>
      <c r="AS29" s="5"/>
      <c r="AT29" s="5"/>
      <c r="AU29" s="119"/>
      <c r="AV29" s="129"/>
      <c r="AW29" s="5"/>
      <c r="AX29" s="5"/>
      <c r="AY29" s="5"/>
      <c r="AZ29" s="5"/>
      <c r="BA29" s="5"/>
      <c r="BB29" s="5"/>
      <c r="BC29" s="5"/>
      <c r="BD29" s="5"/>
      <c r="BE29" s="161"/>
      <c r="BF29" s="5"/>
      <c r="BG29" s="5"/>
      <c r="BH29" s="5"/>
      <c r="BI29" s="5"/>
      <c r="BJ29" s="5"/>
      <c r="BK29" s="5"/>
      <c r="BL29" s="5"/>
      <c r="BM29" s="5"/>
      <c r="BN29" s="323"/>
      <c r="BO29" s="324"/>
      <c r="BP29" s="5"/>
      <c r="BQ29" s="5"/>
      <c r="BR29" s="5"/>
      <c r="BS29" s="5"/>
      <c r="BT29" s="5"/>
      <c r="BU29" s="325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DO29" s="41"/>
      <c r="DP29" s="43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</row>
    <row r="30" spans="1:148" ht="1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5"/>
      <c r="L30" s="5"/>
      <c r="M30" s="326"/>
      <c r="N30" s="5"/>
      <c r="O30" s="5"/>
      <c r="P30" s="327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94" t="s">
        <v>87</v>
      </c>
      <c r="AH30" s="5"/>
      <c r="AI30" s="5"/>
      <c r="AJ30" s="5"/>
      <c r="AK30" s="5"/>
      <c r="AL30" s="328"/>
      <c r="AM30" s="329"/>
      <c r="AN30" s="5"/>
      <c r="AO30" s="5"/>
      <c r="AP30" s="5"/>
      <c r="AQ30" s="9" t="s">
        <v>87</v>
      </c>
      <c r="AR30" s="5"/>
      <c r="AS30" s="5"/>
      <c r="AT30" s="5"/>
      <c r="AU30" s="151"/>
      <c r="AV30" s="164"/>
      <c r="AW30" s="330"/>
      <c r="AX30" s="331"/>
      <c r="AY30" s="5"/>
      <c r="AZ30" s="5"/>
      <c r="BA30" s="5"/>
      <c r="BB30" s="5"/>
      <c r="BC30" s="5"/>
      <c r="BD30" s="5"/>
      <c r="BE30" s="119"/>
      <c r="BF30" s="5"/>
      <c r="BG30" s="5"/>
      <c r="BH30" s="5"/>
      <c r="BI30" s="5"/>
      <c r="BJ30" s="5"/>
      <c r="BK30" s="5"/>
      <c r="BL30" s="5"/>
      <c r="BM30" s="5"/>
      <c r="BN30" s="332"/>
      <c r="BO30" s="333"/>
      <c r="BP30" s="5"/>
      <c r="BQ30" s="334"/>
      <c r="BR30" s="5"/>
      <c r="BS30" s="5"/>
      <c r="BT30" s="5"/>
      <c r="BU30" s="5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DO30" s="41"/>
      <c r="DP30" s="549" t="s">
        <v>198</v>
      </c>
      <c r="DQ30" s="549" t="s">
        <v>199</v>
      </c>
      <c r="DR30" s="45" t="s">
        <v>200</v>
      </c>
      <c r="DS30" s="45" t="s">
        <v>202</v>
      </c>
      <c r="DT30" s="45" t="s">
        <v>154</v>
      </c>
      <c r="DU30" s="549" t="s">
        <v>110</v>
      </c>
      <c r="DV30" s="45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</row>
    <row r="31" spans="1:148" ht="1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5"/>
      <c r="L31" s="5"/>
      <c r="M31" s="5"/>
      <c r="N31" s="5"/>
      <c r="O31" s="335"/>
      <c r="P31" s="5"/>
      <c r="Q31" s="5"/>
      <c r="R31" s="5"/>
      <c r="S31" s="5"/>
      <c r="T31" s="5"/>
      <c r="U31" s="5"/>
      <c r="V31" s="5"/>
      <c r="W31" s="5"/>
      <c r="X31" s="5"/>
      <c r="Y31" s="5"/>
      <c r="Z31" s="336"/>
      <c r="AA31" s="337"/>
      <c r="AB31" s="5"/>
      <c r="AC31" s="338"/>
      <c r="AD31" s="5"/>
      <c r="AE31" s="5"/>
      <c r="AF31" s="5"/>
      <c r="AG31" s="5"/>
      <c r="AH31" s="5"/>
      <c r="AI31" s="5"/>
      <c r="AJ31" s="5"/>
      <c r="AK31" s="5"/>
      <c r="AL31" s="135"/>
      <c r="AM31" s="150"/>
      <c r="AN31" s="128"/>
      <c r="AO31" s="122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8" t="s">
        <v>87</v>
      </c>
      <c r="BH31" s="5"/>
      <c r="BI31" s="5"/>
      <c r="BJ31" s="5"/>
      <c r="BK31" s="5"/>
      <c r="BL31" s="125"/>
      <c r="BM31" s="162"/>
      <c r="BN31" s="5"/>
      <c r="BO31" s="5"/>
      <c r="BP31" s="5"/>
      <c r="BQ31" s="339"/>
      <c r="BR31" s="5"/>
      <c r="BS31" s="5"/>
      <c r="BT31" s="340"/>
      <c r="BU31" s="5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DO31" s="41"/>
      <c r="DP31" s="549"/>
      <c r="DQ31" s="549"/>
      <c r="DR31" s="45" t="s">
        <v>201</v>
      </c>
      <c r="DS31" s="45" t="s">
        <v>201</v>
      </c>
      <c r="DT31" s="45" t="s">
        <v>203</v>
      </c>
      <c r="DU31" s="549"/>
      <c r="DV31" s="45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</row>
    <row r="32" spans="1:148" ht="1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341"/>
      <c r="AA32" s="342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160"/>
      <c r="AM32" s="145"/>
      <c r="AN32" s="156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8" t="s">
        <v>87</v>
      </c>
      <c r="BF32" s="5"/>
      <c r="BG32" s="5"/>
      <c r="BH32" s="5"/>
      <c r="BI32" s="5"/>
      <c r="BJ32" s="9" t="s">
        <v>87</v>
      </c>
      <c r="BK32" s="5"/>
      <c r="BL32" s="121"/>
      <c r="BM32" s="146"/>
      <c r="BN32" s="343"/>
      <c r="BO32" s="344"/>
      <c r="BP32" s="5"/>
      <c r="BQ32" s="5"/>
      <c r="BR32" s="5"/>
      <c r="BS32" s="5"/>
      <c r="BT32" s="5"/>
      <c r="BU32" s="345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DO32" s="41"/>
      <c r="DP32" s="46">
        <v>1</v>
      </c>
      <c r="DQ32" s="46">
        <v>5</v>
      </c>
      <c r="DR32" s="46">
        <v>53</v>
      </c>
      <c r="DS32" s="46">
        <v>14</v>
      </c>
      <c r="DT32" s="46">
        <v>20</v>
      </c>
      <c r="DU32" s="46">
        <v>15</v>
      </c>
      <c r="DV32" s="46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</row>
    <row r="33" spans="1:148" ht="1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346"/>
      <c r="AB33" s="347"/>
      <c r="AC33" s="8" t="s">
        <v>87</v>
      </c>
      <c r="AD33" s="5"/>
      <c r="AE33" s="5"/>
      <c r="AF33" s="5"/>
      <c r="AG33" s="5"/>
      <c r="AH33" s="5"/>
      <c r="AI33" s="5"/>
      <c r="AJ33" s="5"/>
      <c r="AK33" s="5"/>
      <c r="AL33" s="124"/>
      <c r="AM33" s="348"/>
      <c r="AN33" s="5"/>
      <c r="AO33" s="5"/>
      <c r="AP33" s="5"/>
      <c r="AQ33" s="5"/>
      <c r="AR33" s="151"/>
      <c r="AS33" s="143"/>
      <c r="AT33" s="162"/>
      <c r="AU33" s="5"/>
      <c r="AV33" s="5"/>
      <c r="AW33" s="349"/>
      <c r="AX33" s="350"/>
      <c r="AY33" s="5"/>
      <c r="AZ33" s="135"/>
      <c r="BA33" s="161"/>
      <c r="BB33" s="5"/>
      <c r="BC33" s="5"/>
      <c r="BD33" s="5"/>
      <c r="BE33" s="5"/>
      <c r="BF33" s="5"/>
      <c r="BG33" s="5"/>
      <c r="BH33" s="5"/>
      <c r="BI33" s="137"/>
      <c r="BJ33" s="148"/>
      <c r="BK33" s="154"/>
      <c r="BL33" s="148"/>
      <c r="BM33" s="124"/>
      <c r="BN33" s="121"/>
      <c r="BO33" s="351"/>
      <c r="BP33" s="5"/>
      <c r="BQ33" s="352"/>
      <c r="BR33" s="353"/>
      <c r="BS33" s="5"/>
      <c r="BT33" s="5"/>
      <c r="BU33" s="5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DO33" s="41"/>
      <c r="DP33" s="46">
        <v>2</v>
      </c>
      <c r="DQ33" s="46">
        <v>6</v>
      </c>
      <c r="DR33" s="46">
        <v>67</v>
      </c>
      <c r="DS33" s="46">
        <v>15</v>
      </c>
      <c r="DT33" s="46">
        <v>20</v>
      </c>
      <c r="DU33" s="46">
        <v>18</v>
      </c>
      <c r="DV33" s="46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</row>
    <row r="34" spans="1:148" ht="1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354"/>
      <c r="AB34" s="5"/>
      <c r="AC34" s="5"/>
      <c r="AD34" s="5"/>
      <c r="AE34" s="5"/>
      <c r="AF34" s="5"/>
      <c r="AG34" s="5"/>
      <c r="AH34" s="5"/>
      <c r="AI34" s="5"/>
      <c r="AJ34" s="5"/>
      <c r="AK34" s="125"/>
      <c r="AL34" s="122"/>
      <c r="AM34" s="5"/>
      <c r="AN34" s="5"/>
      <c r="AO34" s="5"/>
      <c r="AP34" s="5"/>
      <c r="AQ34" s="5"/>
      <c r="AR34" s="146"/>
      <c r="AS34" s="146"/>
      <c r="AT34" s="145"/>
      <c r="AU34" s="140"/>
      <c r="AV34" s="151"/>
      <c r="AW34" s="5"/>
      <c r="AX34" s="355"/>
      <c r="AY34" s="356"/>
      <c r="AZ34" s="158"/>
      <c r="BA34" s="147"/>
      <c r="BB34" s="165"/>
      <c r="BC34" s="131"/>
      <c r="BD34" s="5"/>
      <c r="BE34" s="5"/>
      <c r="BF34" s="5"/>
      <c r="BG34" s="5"/>
      <c r="BH34" s="5"/>
      <c r="BI34" s="148"/>
      <c r="BJ34" s="117"/>
      <c r="BK34" s="117"/>
      <c r="BL34" s="117"/>
      <c r="BM34" s="117"/>
      <c r="BN34" s="123"/>
      <c r="BO34" s="148"/>
      <c r="BP34" s="5"/>
      <c r="BQ34" s="5"/>
      <c r="BR34" s="5"/>
      <c r="BS34" s="130"/>
      <c r="BT34" s="138"/>
      <c r="BU34" s="12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DO34" s="41"/>
      <c r="DP34" s="46">
        <v>3</v>
      </c>
      <c r="DQ34" s="46">
        <v>6</v>
      </c>
      <c r="DR34" s="46">
        <v>82</v>
      </c>
      <c r="DS34" s="46">
        <v>15</v>
      </c>
      <c r="DT34" s="46">
        <v>25</v>
      </c>
      <c r="DU34" s="46">
        <v>21</v>
      </c>
      <c r="DV34" s="46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</row>
    <row r="35" spans="1:148" ht="1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57"/>
      <c r="AD35" s="5"/>
      <c r="AE35" s="8" t="s">
        <v>87</v>
      </c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162"/>
      <c r="AT35" s="151"/>
      <c r="AU35" s="117"/>
      <c r="AV35" s="116"/>
      <c r="AW35" s="118"/>
      <c r="AX35" s="5"/>
      <c r="AY35" s="9" t="s">
        <v>87</v>
      </c>
      <c r="AZ35" s="122"/>
      <c r="BA35" s="134"/>
      <c r="BB35" s="143"/>
      <c r="BC35" s="5"/>
      <c r="BD35" s="5"/>
      <c r="BE35" s="5"/>
      <c r="BF35" s="5"/>
      <c r="BG35" s="5"/>
      <c r="BH35" s="5"/>
      <c r="BI35" s="137"/>
      <c r="BJ35" s="117"/>
      <c r="BK35" s="117"/>
      <c r="BL35" s="117"/>
      <c r="BM35" s="117"/>
      <c r="BN35" s="117"/>
      <c r="BO35" s="118"/>
      <c r="BP35" s="154"/>
      <c r="BQ35" s="150"/>
      <c r="BR35" s="160"/>
      <c r="BS35" s="152"/>
      <c r="BT35" s="117"/>
      <c r="BU35" s="117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DO35" s="41"/>
      <c r="DP35" s="46">
        <v>4</v>
      </c>
      <c r="DQ35" s="46">
        <v>7</v>
      </c>
      <c r="DR35" s="46">
        <v>97</v>
      </c>
      <c r="DS35" s="46">
        <v>16</v>
      </c>
      <c r="DT35" s="46">
        <v>38</v>
      </c>
      <c r="DU35" s="46">
        <v>25</v>
      </c>
      <c r="DV35" s="46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</row>
    <row r="36" spans="1:148" ht="1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9" t="s">
        <v>87</v>
      </c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145"/>
      <c r="AN36" s="5"/>
      <c r="AO36" s="5"/>
      <c r="AP36" s="5"/>
      <c r="AQ36" s="5"/>
      <c r="AR36" s="5"/>
      <c r="AS36" s="5"/>
      <c r="AT36" s="158"/>
      <c r="AU36" s="117"/>
      <c r="AV36" s="117"/>
      <c r="AW36" s="157"/>
      <c r="AX36" s="358"/>
      <c r="AY36" s="5"/>
      <c r="AZ36" s="5"/>
      <c r="BA36" s="143"/>
      <c r="BB36" s="147"/>
      <c r="BC36" s="5"/>
      <c r="BD36" s="5"/>
      <c r="BE36" s="5"/>
      <c r="BF36" s="126"/>
      <c r="BG36" s="166"/>
      <c r="BH36" s="5"/>
      <c r="BI36" s="164"/>
      <c r="BJ36" s="138"/>
      <c r="BK36" s="117"/>
      <c r="BL36" s="117"/>
      <c r="BM36" s="117"/>
      <c r="BN36" s="117"/>
      <c r="BO36" s="117"/>
      <c r="BP36" s="117"/>
      <c r="BQ36" s="117"/>
      <c r="BR36" s="117"/>
      <c r="BS36" s="117"/>
      <c r="BT36" s="117"/>
      <c r="BU36" s="117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DO36" s="41"/>
      <c r="DP36" s="46">
        <v>5</v>
      </c>
      <c r="DQ36" s="46">
        <v>7</v>
      </c>
      <c r="DR36" s="46">
        <v>113</v>
      </c>
      <c r="DS36" s="46">
        <v>17</v>
      </c>
      <c r="DT36" s="46">
        <v>51</v>
      </c>
      <c r="DU36" s="46">
        <v>29</v>
      </c>
      <c r="DV36" s="46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</row>
    <row r="37" spans="1:148" ht="1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5"/>
      <c r="L37" s="5"/>
      <c r="M37" s="5"/>
      <c r="N37" s="359"/>
      <c r="O37" s="5"/>
      <c r="P37" s="5"/>
      <c r="Q37" s="5"/>
      <c r="R37" s="5"/>
      <c r="S37" s="5"/>
      <c r="T37" s="5"/>
      <c r="U37" s="5"/>
      <c r="V37" s="5"/>
      <c r="W37" s="9" t="s">
        <v>87</v>
      </c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156"/>
      <c r="AN37" s="5"/>
      <c r="AO37" s="5"/>
      <c r="AP37" s="9" t="s">
        <v>87</v>
      </c>
      <c r="AQ37" s="5"/>
      <c r="AR37" s="5"/>
      <c r="AS37" s="5"/>
      <c r="AT37" s="121"/>
      <c r="AU37" s="117"/>
      <c r="AV37" s="117"/>
      <c r="AW37" s="122"/>
      <c r="AX37" s="119"/>
      <c r="AY37" s="157"/>
      <c r="AZ37" s="118"/>
      <c r="BA37" s="125"/>
      <c r="BB37" s="161"/>
      <c r="BC37" s="152"/>
      <c r="BD37" s="5"/>
      <c r="BE37" s="5"/>
      <c r="BF37" s="158"/>
      <c r="BG37" s="147"/>
      <c r="BH37" s="133"/>
      <c r="BI37" s="5"/>
      <c r="BJ37" s="125"/>
      <c r="BK37" s="117"/>
      <c r="BL37" s="117"/>
      <c r="BM37" s="117"/>
      <c r="BN37" s="117"/>
      <c r="BO37" s="117"/>
      <c r="BP37" s="117"/>
      <c r="BQ37" s="117"/>
      <c r="BR37" s="117"/>
      <c r="BS37" s="117"/>
      <c r="BT37" s="117"/>
      <c r="BU37" s="117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DO37" s="41"/>
      <c r="DP37" s="46">
        <v>6</v>
      </c>
      <c r="DQ37" s="46">
        <v>8</v>
      </c>
      <c r="DR37" s="46">
        <v>130</v>
      </c>
      <c r="DS37" s="46">
        <v>18</v>
      </c>
      <c r="DT37" s="46">
        <v>67</v>
      </c>
      <c r="DU37" s="46">
        <v>33</v>
      </c>
      <c r="DV37" s="46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</row>
    <row r="38" spans="1:148" ht="1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145"/>
      <c r="AU38" s="117"/>
      <c r="AV38" s="117"/>
      <c r="AW38" s="117"/>
      <c r="AX38" s="117"/>
      <c r="AY38" s="117"/>
      <c r="AZ38" s="117"/>
      <c r="BA38" s="117"/>
      <c r="BB38" s="138"/>
      <c r="BC38" s="5"/>
      <c r="BD38" s="5"/>
      <c r="BE38" s="5"/>
      <c r="BF38" s="5"/>
      <c r="BG38" s="124"/>
      <c r="BH38" s="153"/>
      <c r="BI38" s="5"/>
      <c r="BJ38" s="134"/>
      <c r="BK38" s="164"/>
      <c r="BL38" s="117"/>
      <c r="BM38" s="117"/>
      <c r="BN38" s="132"/>
      <c r="BO38" s="146"/>
      <c r="BP38" s="151"/>
      <c r="BQ38" s="117"/>
      <c r="BR38" s="117"/>
      <c r="BS38" s="117"/>
      <c r="BT38" s="117"/>
      <c r="BU38" s="117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DO38" s="41"/>
      <c r="DP38" s="46">
        <v>7</v>
      </c>
      <c r="DQ38" s="46">
        <v>9</v>
      </c>
      <c r="DR38" s="46">
        <v>148</v>
      </c>
      <c r="DS38" s="46">
        <v>19</v>
      </c>
      <c r="DT38" s="46">
        <v>88</v>
      </c>
      <c r="DU38" s="46">
        <v>38</v>
      </c>
      <c r="DV38" s="46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</row>
    <row r="39" spans="1:148" ht="1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5"/>
      <c r="L39" s="5"/>
      <c r="M39" s="5"/>
      <c r="N39" s="5"/>
      <c r="O39" s="5"/>
      <c r="P39" s="5"/>
      <c r="Q39" s="360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127"/>
      <c r="AU39" s="117"/>
      <c r="AV39" s="117"/>
      <c r="AW39" s="117"/>
      <c r="AX39" s="148"/>
      <c r="AY39" s="128"/>
      <c r="AZ39" s="159"/>
      <c r="BA39" s="137"/>
      <c r="BB39" s="163"/>
      <c r="BC39" s="5"/>
      <c r="BD39" s="5"/>
      <c r="BE39" s="160"/>
      <c r="BF39" s="124"/>
      <c r="BG39" s="134"/>
      <c r="BH39" s="151"/>
      <c r="BI39" s="5"/>
      <c r="BJ39" s="5"/>
      <c r="BK39" s="157"/>
      <c r="BL39" s="117"/>
      <c r="BM39" s="117"/>
      <c r="BN39" s="159"/>
      <c r="BO39" s="5"/>
      <c r="BP39" s="127"/>
      <c r="BQ39" s="117"/>
      <c r="BR39" s="117"/>
      <c r="BS39" s="117"/>
      <c r="BT39" s="117"/>
      <c r="BU39" s="117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DO39" s="41"/>
      <c r="DP39" s="46">
        <v>8</v>
      </c>
      <c r="DQ39" s="46">
        <v>10</v>
      </c>
      <c r="DR39" s="46">
        <v>166</v>
      </c>
      <c r="DS39" s="46">
        <v>20</v>
      </c>
      <c r="DT39" s="46">
        <v>113</v>
      </c>
      <c r="DU39" s="46">
        <v>43</v>
      </c>
      <c r="DV39" s="46"/>
    </row>
    <row r="40" spans="1:148" ht="1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5"/>
      <c r="L40" s="5"/>
      <c r="M40" s="5"/>
      <c r="N40" s="5"/>
      <c r="O40" s="5"/>
      <c r="P40" s="5"/>
      <c r="Q40" s="5"/>
      <c r="R40" s="5"/>
      <c r="S40" s="361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9" t="s">
        <v>87</v>
      </c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143"/>
      <c r="AU40" s="117"/>
      <c r="AV40" s="148"/>
      <c r="AW40" s="140"/>
      <c r="AX40" s="152"/>
      <c r="AY40" s="5"/>
      <c r="AZ40" s="5"/>
      <c r="BA40" s="9" t="s">
        <v>87</v>
      </c>
      <c r="BB40" s="5"/>
      <c r="BC40" s="5"/>
      <c r="BD40" s="5"/>
      <c r="BE40" s="142"/>
      <c r="BF40" s="127"/>
      <c r="BG40" s="117"/>
      <c r="BH40" s="161"/>
      <c r="BI40" s="163"/>
      <c r="BJ40" s="5"/>
      <c r="BK40" s="148"/>
      <c r="BL40" s="117"/>
      <c r="BM40" s="117"/>
      <c r="BN40" s="119"/>
      <c r="BO40" s="153"/>
      <c r="BP40" s="147"/>
      <c r="BQ40" s="117"/>
      <c r="BR40" s="117"/>
      <c r="BS40" s="117"/>
      <c r="BT40" s="117"/>
      <c r="BU40" s="117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DO40" s="41"/>
      <c r="DP40" s="46">
        <v>9</v>
      </c>
      <c r="DQ40" s="46">
        <v>11</v>
      </c>
      <c r="DR40" s="46">
        <v>185</v>
      </c>
      <c r="DS40" s="46">
        <v>21</v>
      </c>
      <c r="DT40" s="46">
        <v>141</v>
      </c>
      <c r="DU40" s="46">
        <v>49</v>
      </c>
      <c r="DV40" s="46"/>
    </row>
    <row r="41" spans="1:148" ht="1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5"/>
      <c r="L41" s="5"/>
      <c r="M41" s="5"/>
      <c r="N41" s="5"/>
      <c r="O41" s="362"/>
      <c r="P41" s="5"/>
      <c r="Q41" s="363"/>
      <c r="R41" s="5"/>
      <c r="S41" s="5"/>
      <c r="T41" s="5"/>
      <c r="U41" s="364"/>
      <c r="V41" s="5"/>
      <c r="W41" s="365"/>
      <c r="X41" s="5"/>
      <c r="Y41" s="5"/>
      <c r="Z41" s="5"/>
      <c r="AA41" s="94" t="s">
        <v>87</v>
      </c>
      <c r="AB41" s="5"/>
      <c r="AC41" s="5"/>
      <c r="AD41" s="5"/>
      <c r="AE41" s="5"/>
      <c r="AF41" s="5"/>
      <c r="AG41" s="366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127"/>
      <c r="AU41" s="121"/>
      <c r="AV41" s="154"/>
      <c r="AW41" s="5"/>
      <c r="AX41" s="5"/>
      <c r="AY41" s="5"/>
      <c r="AZ41" s="5"/>
      <c r="BA41" s="5"/>
      <c r="BB41" s="367"/>
      <c r="BC41" s="5"/>
      <c r="BD41" s="5"/>
      <c r="BE41" s="5"/>
      <c r="BF41" s="152"/>
      <c r="BG41" s="117"/>
      <c r="BH41" s="117"/>
      <c r="BI41" s="134"/>
      <c r="BJ41" s="5"/>
      <c r="BK41" s="135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DO41" s="41"/>
      <c r="DP41" s="46">
        <v>10</v>
      </c>
      <c r="DQ41" s="46">
        <v>12</v>
      </c>
      <c r="DR41" s="46">
        <v>205</v>
      </c>
      <c r="DS41" s="46">
        <v>23</v>
      </c>
      <c r="DT41" s="46">
        <v>173</v>
      </c>
      <c r="DU41" s="46">
        <v>55</v>
      </c>
      <c r="DV41" s="46"/>
    </row>
    <row r="42" spans="1:148" ht="1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5"/>
      <c r="L42" s="368"/>
      <c r="M42" s="5"/>
      <c r="N42" s="5"/>
      <c r="O42" s="5"/>
      <c r="P42" s="5"/>
      <c r="Q42" s="5"/>
      <c r="R42" s="5"/>
      <c r="S42" s="5"/>
      <c r="T42" s="369"/>
      <c r="U42" s="5"/>
      <c r="V42" s="370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371"/>
      <c r="AH42" s="372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373"/>
      <c r="AV42" s="5"/>
      <c r="AW42" s="5"/>
      <c r="AX42" s="5"/>
      <c r="AY42" s="5"/>
      <c r="AZ42" s="5"/>
      <c r="BA42" s="374"/>
      <c r="BB42" s="5"/>
      <c r="BC42" s="5"/>
      <c r="BD42" s="5"/>
      <c r="BE42" s="155"/>
      <c r="BF42" s="159"/>
      <c r="BG42" s="152"/>
      <c r="BH42" s="130"/>
      <c r="BI42" s="132"/>
      <c r="BJ42" s="5"/>
      <c r="BK42" s="131"/>
      <c r="BL42" s="155"/>
      <c r="BM42" s="116"/>
      <c r="BN42" s="117"/>
      <c r="BO42" s="133"/>
      <c r="BP42" s="164"/>
      <c r="BQ42" s="157"/>
      <c r="BR42" s="137"/>
      <c r="BS42" s="117"/>
      <c r="BT42" s="117"/>
      <c r="BU42" s="117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DO42" s="41"/>
      <c r="DP42" s="46">
        <v>11</v>
      </c>
      <c r="DQ42" s="46">
        <v>13</v>
      </c>
      <c r="DR42" s="46">
        <v>226</v>
      </c>
      <c r="DS42" s="46">
        <v>24</v>
      </c>
      <c r="DT42" s="46">
        <v>211</v>
      </c>
      <c r="DU42" s="46">
        <v>61</v>
      </c>
      <c r="DV42" s="46"/>
    </row>
    <row r="43" spans="1:148" ht="1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5"/>
      <c r="L43" s="5"/>
      <c r="M43" s="375"/>
      <c r="N43" s="5"/>
      <c r="O43" s="376"/>
      <c r="P43" s="377"/>
      <c r="Q43" s="5"/>
      <c r="R43" s="5"/>
      <c r="S43" s="5"/>
      <c r="T43" s="378"/>
      <c r="U43" s="379"/>
      <c r="V43" s="5"/>
      <c r="W43" s="5"/>
      <c r="X43" s="5"/>
      <c r="Y43" s="5"/>
      <c r="Z43" s="380"/>
      <c r="AA43" s="8" t="s">
        <v>87</v>
      </c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9" t="s">
        <v>87</v>
      </c>
      <c r="AW43" s="5"/>
      <c r="AX43" s="5"/>
      <c r="AY43" s="5"/>
      <c r="AZ43" s="5"/>
      <c r="BA43" s="381"/>
      <c r="BB43" s="382"/>
      <c r="BC43" s="5"/>
      <c r="BD43" s="383"/>
      <c r="BE43" s="136"/>
      <c r="BF43" s="117"/>
      <c r="BG43" s="147"/>
      <c r="BH43" s="5"/>
      <c r="BI43" s="5"/>
      <c r="BJ43" s="5"/>
      <c r="BK43" s="5"/>
      <c r="BL43" s="5"/>
      <c r="BM43" s="165"/>
      <c r="BN43" s="140"/>
      <c r="BO43" s="135"/>
      <c r="BP43" s="5"/>
      <c r="BQ43" s="5"/>
      <c r="BR43" s="123"/>
      <c r="BS43" s="131"/>
      <c r="BT43" s="117"/>
      <c r="BU43" s="117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DO43" s="41"/>
      <c r="DP43" s="46">
        <v>12</v>
      </c>
      <c r="DQ43" s="46">
        <v>14</v>
      </c>
      <c r="DR43" s="46">
        <v>248</v>
      </c>
      <c r="DS43" s="46">
        <v>25</v>
      </c>
      <c r="DT43" s="46">
        <v>250</v>
      </c>
      <c r="DU43" s="46">
        <v>68</v>
      </c>
      <c r="DV43" s="46"/>
    </row>
    <row r="44" spans="1:148" ht="1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5"/>
      <c r="L44" s="5"/>
      <c r="M44" s="384"/>
      <c r="N44" s="385"/>
      <c r="O44" s="386"/>
      <c r="P44" s="5"/>
      <c r="Q44" s="387"/>
      <c r="R44" s="5"/>
      <c r="S44" s="5"/>
      <c r="T44" s="5"/>
      <c r="U44" s="5"/>
      <c r="V44" s="388"/>
      <c r="W44" s="5"/>
      <c r="X44" s="5"/>
      <c r="Y44" s="5"/>
      <c r="Z44" s="5"/>
      <c r="AA44" s="5"/>
      <c r="AB44" s="5"/>
      <c r="AC44" s="389"/>
      <c r="AD44" s="390"/>
      <c r="AE44" s="5"/>
      <c r="AF44" s="5"/>
      <c r="AG44" s="5"/>
      <c r="AH44" s="5"/>
      <c r="AI44" s="5"/>
      <c r="AJ44" s="5"/>
      <c r="AK44" s="5"/>
      <c r="AL44" s="141"/>
      <c r="AM44" s="148"/>
      <c r="AN44" s="141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391"/>
      <c r="BA44" s="5"/>
      <c r="BB44" s="392"/>
      <c r="BC44" s="393"/>
      <c r="BD44" s="5"/>
      <c r="BE44" s="159"/>
      <c r="BF44" s="162"/>
      <c r="BG44" s="151"/>
      <c r="BH44" s="154"/>
      <c r="BI44" s="5"/>
      <c r="BJ44" s="5"/>
      <c r="BK44" s="5"/>
      <c r="BL44" s="5"/>
      <c r="BM44" s="161"/>
      <c r="BN44" s="143"/>
      <c r="BO44" s="5"/>
      <c r="BP44" s="394"/>
      <c r="BQ44" s="169"/>
      <c r="BR44" s="395"/>
      <c r="BS44" s="126"/>
      <c r="BT44" s="117"/>
      <c r="BU44" s="117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DO44" s="41"/>
      <c r="DP44" s="46">
        <v>13</v>
      </c>
      <c r="DQ44" s="46">
        <v>15</v>
      </c>
      <c r="DR44" s="46">
        <v>271</v>
      </c>
      <c r="DS44" s="46">
        <v>26</v>
      </c>
      <c r="DT44" s="46">
        <v>297</v>
      </c>
      <c r="DU44" s="46">
        <v>76</v>
      </c>
      <c r="DV44" s="46"/>
    </row>
    <row r="45" spans="1:148" ht="1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5"/>
      <c r="L45" s="5"/>
      <c r="M45" s="396"/>
      <c r="N45" s="5"/>
      <c r="O45" s="5"/>
      <c r="P45" s="5"/>
      <c r="Q45" s="5"/>
      <c r="R45" s="397"/>
      <c r="S45" s="9" t="s">
        <v>87</v>
      </c>
      <c r="T45" s="5"/>
      <c r="U45" s="398"/>
      <c r="V45" s="5"/>
      <c r="W45" s="5"/>
      <c r="X45" s="5"/>
      <c r="Y45" s="5"/>
      <c r="Z45" s="5"/>
      <c r="AA45" s="399"/>
      <c r="AB45" s="5"/>
      <c r="AC45" s="5"/>
      <c r="AD45" s="5"/>
      <c r="AE45" s="400"/>
      <c r="AF45" s="5"/>
      <c r="AG45" s="401"/>
      <c r="AH45" s="402"/>
      <c r="AI45" s="5"/>
      <c r="AJ45" s="5"/>
      <c r="AK45" s="160"/>
      <c r="AL45" s="155"/>
      <c r="AM45" s="120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131"/>
      <c r="BG45" s="117"/>
      <c r="BH45" s="151"/>
      <c r="BI45" s="9" t="s">
        <v>87</v>
      </c>
      <c r="BJ45" s="5"/>
      <c r="BK45" s="5"/>
      <c r="BL45" s="5"/>
      <c r="BM45" s="5"/>
      <c r="BN45" s="5"/>
      <c r="BO45" s="403"/>
      <c r="BP45" s="5"/>
      <c r="BQ45" s="404"/>
      <c r="BR45" s="5"/>
      <c r="BS45" s="162"/>
      <c r="BT45" s="117"/>
      <c r="BU45" s="117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DO45" s="41"/>
      <c r="DP45" s="46">
        <v>14</v>
      </c>
      <c r="DQ45" s="46">
        <v>16</v>
      </c>
      <c r="DR45" s="46">
        <v>295</v>
      </c>
      <c r="DS45" s="46">
        <v>28</v>
      </c>
      <c r="DT45" s="46">
        <v>347</v>
      </c>
      <c r="DU45" s="46">
        <v>85</v>
      </c>
      <c r="DV45" s="46"/>
    </row>
    <row r="46" spans="1:148" ht="1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5"/>
      <c r="L46" s="5"/>
      <c r="M46" s="5"/>
      <c r="N46" s="405"/>
      <c r="O46" s="406"/>
      <c r="P46" s="5"/>
      <c r="Q46" s="5"/>
      <c r="R46" s="407"/>
      <c r="S46" s="408"/>
      <c r="T46" s="409"/>
      <c r="U46" s="5"/>
      <c r="V46" s="5"/>
      <c r="W46" s="5"/>
      <c r="X46" s="5"/>
      <c r="Y46" s="5"/>
      <c r="Z46" s="5"/>
      <c r="AA46" s="5"/>
      <c r="AB46" s="5"/>
      <c r="AC46" s="332"/>
      <c r="AD46" s="5"/>
      <c r="AE46" s="410"/>
      <c r="AF46" s="411"/>
      <c r="AG46" s="412"/>
      <c r="AH46" s="413"/>
      <c r="AI46" s="5"/>
      <c r="AJ46" s="5"/>
      <c r="AK46" s="158"/>
      <c r="AL46" s="5"/>
      <c r="AM46" s="5"/>
      <c r="AN46" s="5"/>
      <c r="AO46" s="5"/>
      <c r="AP46" s="5"/>
      <c r="AQ46" s="5"/>
      <c r="AR46" s="5"/>
      <c r="AS46" s="9" t="s">
        <v>87</v>
      </c>
      <c r="AT46" s="9" t="s">
        <v>87</v>
      </c>
      <c r="AU46" s="5"/>
      <c r="AV46" s="5"/>
      <c r="AW46" s="5"/>
      <c r="AX46" s="142"/>
      <c r="AY46" s="144"/>
      <c r="AZ46" s="5"/>
      <c r="BA46" s="5"/>
      <c r="BB46" s="5"/>
      <c r="BC46" s="5"/>
      <c r="BD46" s="5"/>
      <c r="BE46" s="5"/>
      <c r="BF46" s="131"/>
      <c r="BG46" s="117"/>
      <c r="BH46" s="118"/>
      <c r="BI46" s="5"/>
      <c r="BJ46" s="5"/>
      <c r="BK46" s="5"/>
      <c r="BL46" s="5"/>
      <c r="BM46" s="5"/>
      <c r="BN46" s="5"/>
      <c r="BO46" s="5"/>
      <c r="BP46" s="5"/>
      <c r="BQ46" s="5"/>
      <c r="BR46" s="414"/>
      <c r="BS46" s="138"/>
      <c r="BT46" s="117"/>
      <c r="BU46" s="117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DO46" s="41"/>
      <c r="DP46" s="46">
        <v>15</v>
      </c>
      <c r="DQ46" s="46">
        <v>17</v>
      </c>
      <c r="DR46" s="46">
        <v>320</v>
      </c>
      <c r="DS46" s="46">
        <v>29</v>
      </c>
      <c r="DT46" s="46">
        <v>402</v>
      </c>
      <c r="DU46" s="46">
        <v>94</v>
      </c>
      <c r="DV46" s="46"/>
    </row>
    <row r="47" spans="1:148" ht="1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5"/>
      <c r="L47" s="5"/>
      <c r="M47" s="5"/>
      <c r="N47" s="5"/>
      <c r="O47" s="5"/>
      <c r="P47" s="415"/>
      <c r="Q47" s="416"/>
      <c r="R47" s="417"/>
      <c r="S47" s="418"/>
      <c r="T47" s="5"/>
      <c r="U47" s="419"/>
      <c r="V47" s="5"/>
      <c r="W47" s="420"/>
      <c r="X47" s="5"/>
      <c r="Y47" s="5"/>
      <c r="Z47" s="5"/>
      <c r="AA47" s="5"/>
      <c r="AB47" s="421"/>
      <c r="AC47" s="5"/>
      <c r="AD47" s="422"/>
      <c r="AE47" s="5"/>
      <c r="AF47" s="5"/>
      <c r="AG47" s="5"/>
      <c r="AH47" s="5"/>
      <c r="AI47" s="5"/>
      <c r="AJ47" s="5"/>
      <c r="AK47" s="5"/>
      <c r="AL47" s="8" t="s">
        <v>87</v>
      </c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155"/>
      <c r="AY47" s="141"/>
      <c r="AZ47" s="136"/>
      <c r="BA47" s="5"/>
      <c r="BB47" s="5"/>
      <c r="BC47" s="9" t="s">
        <v>87</v>
      </c>
      <c r="BD47" s="5"/>
      <c r="BE47" s="125"/>
      <c r="BF47" s="132"/>
      <c r="BG47" s="117"/>
      <c r="BH47" s="147"/>
      <c r="BI47" s="125"/>
      <c r="BJ47" s="133"/>
      <c r="BK47" s="162"/>
      <c r="BL47" s="155"/>
      <c r="BM47" s="153"/>
      <c r="BN47" s="145"/>
      <c r="BO47" s="150"/>
      <c r="BP47" s="5"/>
      <c r="BQ47" s="423"/>
      <c r="BR47" s="424"/>
      <c r="BS47" s="139"/>
      <c r="BT47" s="117"/>
      <c r="BU47" s="117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DO47" s="41"/>
      <c r="DP47" s="46">
        <v>16</v>
      </c>
      <c r="DQ47" s="46">
        <v>18</v>
      </c>
      <c r="DR47" s="46">
        <v>346</v>
      </c>
      <c r="DS47" s="46">
        <v>31</v>
      </c>
      <c r="DT47" s="46">
        <v>461</v>
      </c>
      <c r="DU47" s="46">
        <v>104</v>
      </c>
      <c r="DV47" s="46"/>
    </row>
    <row r="48" spans="1:148" ht="1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5"/>
      <c r="L48" s="5"/>
      <c r="M48" s="5"/>
      <c r="N48" s="5"/>
      <c r="O48" s="5"/>
      <c r="P48" s="5"/>
      <c r="Q48" s="5"/>
      <c r="R48" s="425"/>
      <c r="S48" s="426"/>
      <c r="T48" s="427"/>
      <c r="U48" s="428"/>
      <c r="V48" s="5"/>
      <c r="W48" s="5"/>
      <c r="X48" s="5"/>
      <c r="Y48" s="5"/>
      <c r="Z48" s="5"/>
      <c r="AA48" s="5"/>
      <c r="AB48" s="5"/>
      <c r="AC48" s="5"/>
      <c r="AD48" s="429"/>
      <c r="AE48" s="5"/>
      <c r="AF48" s="5"/>
      <c r="AG48" s="5"/>
      <c r="AH48" s="5"/>
      <c r="AI48" s="119"/>
      <c r="AJ48" s="139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145"/>
      <c r="AV48" s="136"/>
      <c r="AW48" s="116"/>
      <c r="AX48" s="125"/>
      <c r="AY48" s="117"/>
      <c r="AZ48" s="157"/>
      <c r="BA48" s="118"/>
      <c r="BB48" s="5"/>
      <c r="BC48" s="137"/>
      <c r="BD48" s="145"/>
      <c r="BE48" s="162"/>
      <c r="BF48" s="117"/>
      <c r="BG48" s="117"/>
      <c r="BH48" s="117"/>
      <c r="BI48" s="117"/>
      <c r="BJ48" s="117"/>
      <c r="BK48" s="117"/>
      <c r="BL48" s="117"/>
      <c r="BM48" s="117"/>
      <c r="BN48" s="117"/>
      <c r="BO48" s="155"/>
      <c r="BP48" s="430"/>
      <c r="BQ48" s="431"/>
      <c r="BR48" s="5"/>
      <c r="BS48" s="127"/>
      <c r="BT48" s="117"/>
      <c r="BU48" s="117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DO48" s="41"/>
      <c r="DP48" s="46">
        <v>17</v>
      </c>
      <c r="DQ48" s="46">
        <v>20</v>
      </c>
      <c r="DR48" s="46">
        <v>373</v>
      </c>
      <c r="DS48" s="46">
        <v>32</v>
      </c>
      <c r="DT48" s="46">
        <v>526</v>
      </c>
      <c r="DU48" s="46">
        <v>114</v>
      </c>
      <c r="DV48" s="46"/>
    </row>
    <row r="49" spans="1:126" ht="1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5"/>
      <c r="L49" s="5"/>
      <c r="M49" s="5"/>
      <c r="N49" s="5"/>
      <c r="O49" s="5"/>
      <c r="P49" s="5"/>
      <c r="Q49" s="5"/>
      <c r="R49" s="5"/>
      <c r="S49" s="5"/>
      <c r="T49" s="432"/>
      <c r="U49" s="433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434"/>
      <c r="AG49" s="5"/>
      <c r="AH49" s="147"/>
      <c r="AI49" s="127"/>
      <c r="AJ49" s="164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165"/>
      <c r="AV49" s="117"/>
      <c r="AW49" s="117"/>
      <c r="AX49" s="117"/>
      <c r="AY49" s="117"/>
      <c r="AZ49" s="117"/>
      <c r="BA49" s="124"/>
      <c r="BB49" s="160"/>
      <c r="BC49" s="151"/>
      <c r="BD49" s="117"/>
      <c r="BE49" s="117"/>
      <c r="BF49" s="117"/>
      <c r="BG49" s="117"/>
      <c r="BH49" s="117"/>
      <c r="BI49" s="117"/>
      <c r="BJ49" s="117"/>
      <c r="BK49" s="117"/>
      <c r="BL49" s="117"/>
      <c r="BM49" s="117"/>
      <c r="BN49" s="117"/>
      <c r="BO49" s="160"/>
      <c r="BP49" s="5"/>
      <c r="BQ49" s="5"/>
      <c r="BR49" s="5"/>
      <c r="BS49" s="152"/>
      <c r="BT49" s="117"/>
      <c r="BU49" s="117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DO49" s="41"/>
      <c r="DP49" s="46">
        <v>18</v>
      </c>
      <c r="DQ49" s="46">
        <v>21</v>
      </c>
      <c r="DR49" s="46">
        <v>401</v>
      </c>
      <c r="DS49" s="46">
        <v>34</v>
      </c>
      <c r="DT49" s="46">
        <v>596</v>
      </c>
      <c r="DU49" s="46">
        <v>126</v>
      </c>
      <c r="DV49" s="46"/>
    </row>
    <row r="50" spans="1:126" ht="1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5"/>
      <c r="L50" s="5"/>
      <c r="M50" s="5"/>
      <c r="N50" s="5"/>
      <c r="O50" s="5"/>
      <c r="P50" s="5"/>
      <c r="Q50" s="5"/>
      <c r="R50" s="5"/>
      <c r="S50" s="5"/>
      <c r="T50" s="435"/>
      <c r="U50" s="436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166"/>
      <c r="AH50" s="147"/>
      <c r="AI50" s="117"/>
      <c r="AJ50" s="122"/>
      <c r="AK50" s="123"/>
      <c r="AL50" s="5"/>
      <c r="AM50" s="5"/>
      <c r="AN50" s="5"/>
      <c r="AO50" s="5"/>
      <c r="AP50" s="5"/>
      <c r="AQ50" s="5"/>
      <c r="AR50" s="5"/>
      <c r="AS50" s="5"/>
      <c r="AT50" s="5"/>
      <c r="AU50" s="133"/>
      <c r="AV50" s="117"/>
      <c r="AW50" s="117"/>
      <c r="AX50" s="117"/>
      <c r="AY50" s="117"/>
      <c r="AZ50" s="117"/>
      <c r="BA50" s="117"/>
      <c r="BB50" s="117"/>
      <c r="BC50" s="117"/>
      <c r="BD50" s="117"/>
      <c r="BE50" s="117"/>
      <c r="BF50" s="117"/>
      <c r="BG50" s="117"/>
      <c r="BH50" s="117"/>
      <c r="BI50" s="117"/>
      <c r="BJ50" s="117"/>
      <c r="BK50" s="117"/>
      <c r="BL50" s="117"/>
      <c r="BM50" s="117"/>
      <c r="BN50" s="117"/>
      <c r="BO50" s="131"/>
      <c r="BP50" s="142"/>
      <c r="BQ50" s="128"/>
      <c r="BR50" s="144"/>
      <c r="BS50" s="152"/>
      <c r="BT50" s="117"/>
      <c r="BU50" s="117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DO50" s="41"/>
      <c r="DP50" s="46">
        <v>19</v>
      </c>
      <c r="DQ50" s="46">
        <v>23</v>
      </c>
      <c r="DR50" s="46">
        <v>431</v>
      </c>
      <c r="DS50" s="46">
        <v>35</v>
      </c>
      <c r="DT50" s="46">
        <v>668</v>
      </c>
      <c r="DU50" s="46">
        <v>138</v>
      </c>
      <c r="DV50" s="46"/>
    </row>
    <row r="51" spans="1:126" ht="1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437"/>
      <c r="AF51" s="5"/>
      <c r="AG51" s="148"/>
      <c r="AH51" s="117"/>
      <c r="AI51" s="117"/>
      <c r="AJ51" s="117"/>
      <c r="AK51" s="124"/>
      <c r="AL51" s="5"/>
      <c r="AM51" s="5"/>
      <c r="AN51" s="5"/>
      <c r="AO51" s="5"/>
      <c r="AP51" s="5"/>
      <c r="AQ51" s="5"/>
      <c r="AR51" s="5"/>
      <c r="AS51" s="5"/>
      <c r="AT51" s="5"/>
      <c r="AU51" s="135"/>
      <c r="AV51" s="117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  <c r="BG51" s="117"/>
      <c r="BH51" s="117"/>
      <c r="BI51" s="117"/>
      <c r="BJ51" s="117"/>
      <c r="BK51" s="117"/>
      <c r="BL51" s="117"/>
      <c r="BM51" s="117"/>
      <c r="BN51" s="117"/>
      <c r="BO51" s="117"/>
      <c r="BP51" s="117"/>
      <c r="BQ51" s="117"/>
      <c r="BR51" s="117"/>
      <c r="BS51" s="117"/>
      <c r="BT51" s="117"/>
      <c r="BU51" s="117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DO51" s="41"/>
      <c r="DP51" s="46">
        <v>20</v>
      </c>
      <c r="DQ51" s="46">
        <v>24</v>
      </c>
      <c r="DR51" s="46">
        <v>462</v>
      </c>
      <c r="DS51" s="46">
        <v>37</v>
      </c>
      <c r="DT51" s="46">
        <v>748</v>
      </c>
      <c r="DU51" s="46">
        <v>152</v>
      </c>
      <c r="DV51" s="46"/>
    </row>
    <row r="52" spans="1:126" ht="1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5"/>
      <c r="L52" s="5"/>
      <c r="M52" s="5"/>
      <c r="N52" s="5"/>
      <c r="O52" s="5"/>
      <c r="P52" s="5"/>
      <c r="Q52" s="5"/>
      <c r="R52" s="5"/>
      <c r="S52" s="5"/>
      <c r="T52" s="5"/>
      <c r="U52" s="438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23"/>
      <c r="AG52" s="129"/>
      <c r="AH52" s="117"/>
      <c r="AI52" s="117"/>
      <c r="AJ52" s="117"/>
      <c r="AK52" s="163"/>
      <c r="AL52" s="5"/>
      <c r="AM52" s="5"/>
      <c r="AN52" s="5"/>
      <c r="AO52" s="5"/>
      <c r="AP52" s="5"/>
      <c r="AQ52" s="5"/>
      <c r="AR52" s="5"/>
      <c r="AS52" s="5"/>
      <c r="AT52" s="5"/>
      <c r="AU52" s="119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  <c r="BG52" s="117"/>
      <c r="BH52" s="117"/>
      <c r="BI52" s="117"/>
      <c r="BJ52" s="117"/>
      <c r="BK52" s="117"/>
      <c r="BL52" s="117"/>
      <c r="BM52" s="117"/>
      <c r="BN52" s="117"/>
      <c r="BO52" s="117"/>
      <c r="BP52" s="117"/>
      <c r="BQ52" s="117"/>
      <c r="BR52" s="117"/>
      <c r="BS52" s="117"/>
      <c r="BT52" s="117"/>
      <c r="BU52" s="117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DO52" s="41"/>
      <c r="DP52" s="46">
        <v>21</v>
      </c>
      <c r="DQ52" s="46">
        <v>26</v>
      </c>
      <c r="DR52" s="46">
        <v>493</v>
      </c>
      <c r="DS52" s="46">
        <v>39</v>
      </c>
      <c r="DT52" s="46">
        <v>831</v>
      </c>
      <c r="DU52" s="46">
        <v>166</v>
      </c>
      <c r="DV52" s="46"/>
    </row>
    <row r="53" spans="1:126" ht="1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439"/>
      <c r="X53" s="440"/>
      <c r="Y53" s="5"/>
      <c r="Z53" s="5"/>
      <c r="AA53" s="5"/>
      <c r="AB53" s="5"/>
      <c r="AC53" s="5"/>
      <c r="AD53" s="5"/>
      <c r="AE53" s="5"/>
      <c r="AF53" s="163"/>
      <c r="AG53" s="117"/>
      <c r="AH53" s="117"/>
      <c r="AI53" s="117"/>
      <c r="AJ53" s="117"/>
      <c r="AK53" s="122"/>
      <c r="AL53" s="5"/>
      <c r="AM53" s="5"/>
      <c r="AN53" s="5"/>
      <c r="AO53" s="5"/>
      <c r="AP53" s="5"/>
      <c r="AQ53" s="5"/>
      <c r="AR53" s="5"/>
      <c r="AS53" s="5"/>
      <c r="AT53" s="5"/>
      <c r="AU53" s="125"/>
      <c r="AV53" s="117"/>
      <c r="AW53" s="117"/>
      <c r="AX53" s="117"/>
      <c r="AY53" s="117"/>
      <c r="AZ53" s="117"/>
      <c r="BA53" s="117"/>
      <c r="BB53" s="117"/>
      <c r="BC53" s="117"/>
      <c r="BD53" s="117"/>
      <c r="BE53" s="117"/>
      <c r="BF53" s="117"/>
      <c r="BG53" s="117"/>
      <c r="BH53" s="117"/>
      <c r="BI53" s="117"/>
      <c r="BJ53" s="117"/>
      <c r="BK53" s="117"/>
      <c r="BL53" s="117"/>
      <c r="BM53" s="117"/>
      <c r="BN53" s="117"/>
      <c r="BO53" s="117"/>
      <c r="BP53" s="117"/>
      <c r="BQ53" s="117"/>
      <c r="BR53" s="117"/>
      <c r="BS53" s="117"/>
      <c r="BT53" s="117"/>
      <c r="BU53" s="117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DO53" s="41"/>
      <c r="DP53" s="46">
        <v>22</v>
      </c>
      <c r="DQ53" s="46">
        <v>28</v>
      </c>
      <c r="DR53" s="46">
        <v>527</v>
      </c>
      <c r="DS53" s="46">
        <v>41</v>
      </c>
      <c r="DT53" s="46">
        <v>921</v>
      </c>
      <c r="DU53" s="46">
        <v>182</v>
      </c>
      <c r="DV53" s="46"/>
    </row>
    <row r="54" spans="1:126" ht="1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5"/>
      <c r="L54" s="5"/>
      <c r="M54" s="5"/>
      <c r="N54" s="5"/>
      <c r="O54" s="5"/>
      <c r="P54" s="5"/>
      <c r="Q54" s="5"/>
      <c r="R54" s="5"/>
      <c r="S54" s="5"/>
      <c r="T54" s="5"/>
      <c r="U54" s="441"/>
      <c r="V54" s="5"/>
      <c r="W54" s="5"/>
      <c r="X54" s="442"/>
      <c r="Y54" s="5"/>
      <c r="Z54" s="9" t="s">
        <v>87</v>
      </c>
      <c r="AA54" s="5"/>
      <c r="AB54" s="5"/>
      <c r="AC54" s="5"/>
      <c r="AD54" s="5"/>
      <c r="AE54" s="135"/>
      <c r="AF54" s="146"/>
      <c r="AG54" s="117"/>
      <c r="AH54" s="120"/>
      <c r="AI54" s="118"/>
      <c r="AJ54" s="125"/>
      <c r="AK54" s="138"/>
      <c r="AL54" s="134"/>
      <c r="AM54" s="5"/>
      <c r="AN54" s="5"/>
      <c r="AO54" s="5"/>
      <c r="AP54" s="5"/>
      <c r="AQ54" s="142"/>
      <c r="AR54" s="162"/>
      <c r="AS54" s="5"/>
      <c r="AT54" s="5"/>
      <c r="AU54" s="161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  <c r="BS54" s="117"/>
      <c r="BT54" s="124"/>
      <c r="BU54" s="155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DO54" s="41"/>
      <c r="DP54" s="46">
        <v>23</v>
      </c>
      <c r="DQ54" s="46">
        <v>30</v>
      </c>
      <c r="DR54" s="46">
        <v>561</v>
      </c>
      <c r="DS54" s="46">
        <v>43</v>
      </c>
      <c r="DT54" s="46">
        <v>1013</v>
      </c>
      <c r="DU54" s="46">
        <v>199</v>
      </c>
      <c r="DV54" s="46"/>
    </row>
    <row r="55" spans="1:126" ht="1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5"/>
      <c r="L55" s="5"/>
      <c r="M55" s="5"/>
      <c r="N55" s="5"/>
      <c r="O55" s="5"/>
      <c r="P55" s="5"/>
      <c r="Q55" s="8" t="s">
        <v>87</v>
      </c>
      <c r="R55" s="94" t="s">
        <v>87</v>
      </c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130"/>
      <c r="AF55" s="117"/>
      <c r="AG55" s="117"/>
      <c r="AH55" s="128"/>
      <c r="AI55" s="443"/>
      <c r="AJ55" s="164"/>
      <c r="AK55" s="118"/>
      <c r="AL55" s="9" t="s">
        <v>87</v>
      </c>
      <c r="AM55" s="5"/>
      <c r="AN55" s="5"/>
      <c r="AO55" s="5"/>
      <c r="AP55" s="5"/>
      <c r="AQ55" s="127"/>
      <c r="AR55" s="153"/>
      <c r="AS55" s="138"/>
      <c r="AT55" s="128"/>
      <c r="AU55" s="137"/>
      <c r="AV55" s="117"/>
      <c r="AW55" s="117"/>
      <c r="AX55" s="117"/>
      <c r="AY55" s="117"/>
      <c r="AZ55" s="117"/>
      <c r="BA55" s="117"/>
      <c r="BB55" s="117"/>
      <c r="BC55" s="117"/>
      <c r="BD55" s="117"/>
      <c r="BE55" s="117"/>
      <c r="BF55" s="117"/>
      <c r="BG55" s="117"/>
      <c r="BH55" s="117"/>
      <c r="BI55" s="117"/>
      <c r="BJ55" s="117"/>
      <c r="BK55" s="117"/>
      <c r="BL55" s="117"/>
      <c r="BM55" s="117"/>
      <c r="BN55" s="117"/>
      <c r="BO55" s="117"/>
      <c r="BP55" s="117"/>
      <c r="BQ55" s="117"/>
      <c r="BR55" s="117"/>
      <c r="BS55" s="122"/>
      <c r="BT55" s="156"/>
      <c r="BU55" s="444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DO55" s="41"/>
      <c r="DP55" s="46">
        <v>24</v>
      </c>
      <c r="DQ55" s="46">
        <v>32</v>
      </c>
      <c r="DR55" s="46">
        <v>597</v>
      </c>
      <c r="DS55" s="46">
        <v>45</v>
      </c>
      <c r="DT55" s="46">
        <v>1113</v>
      </c>
      <c r="DU55" s="46">
        <v>217</v>
      </c>
      <c r="DV55" s="46"/>
    </row>
    <row r="56" spans="1:126" ht="1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5"/>
      <c r="L56" s="5"/>
      <c r="M56" s="5"/>
      <c r="N56" s="5"/>
      <c r="O56" s="5"/>
      <c r="P56" s="5"/>
      <c r="Q56" s="5"/>
      <c r="R56" s="5"/>
      <c r="S56" s="5"/>
      <c r="T56" s="9" t="s">
        <v>87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134"/>
      <c r="AF56" s="117"/>
      <c r="AG56" s="117"/>
      <c r="AH56" s="126"/>
      <c r="AI56" s="158"/>
      <c r="AJ56" s="5"/>
      <c r="AK56" s="5"/>
      <c r="AL56" s="5"/>
      <c r="AM56" s="9" t="s">
        <v>87</v>
      </c>
      <c r="AN56" s="5"/>
      <c r="AO56" s="5"/>
      <c r="AP56" s="5"/>
      <c r="AQ56" s="149"/>
      <c r="AR56" s="117"/>
      <c r="AS56" s="117"/>
      <c r="AT56" s="117"/>
      <c r="AU56" s="117"/>
      <c r="AV56" s="117"/>
      <c r="AW56" s="117"/>
      <c r="AX56" s="117"/>
      <c r="AY56" s="117"/>
      <c r="AZ56" s="117"/>
      <c r="BA56" s="117"/>
      <c r="BB56" s="117"/>
      <c r="BC56" s="117"/>
      <c r="BD56" s="117"/>
      <c r="BE56" s="117"/>
      <c r="BF56" s="117"/>
      <c r="BG56" s="117"/>
      <c r="BH56" s="117"/>
      <c r="BI56" s="117"/>
      <c r="BJ56" s="117"/>
      <c r="BK56" s="117"/>
      <c r="BL56" s="117"/>
      <c r="BM56" s="120"/>
      <c r="BN56" s="151"/>
      <c r="BO56" s="121"/>
      <c r="BP56" s="123"/>
      <c r="BQ56" s="122"/>
      <c r="BR56" s="144"/>
      <c r="BS56" s="160"/>
      <c r="BT56" s="5"/>
      <c r="BU56" s="5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DO56" s="41"/>
      <c r="DP56" s="46">
        <v>25</v>
      </c>
      <c r="DQ56" s="46">
        <v>34</v>
      </c>
      <c r="DR56" s="46">
        <v>635</v>
      </c>
      <c r="DS56" s="46">
        <v>47</v>
      </c>
      <c r="DT56" s="46">
        <v>1216</v>
      </c>
      <c r="DU56" s="46">
        <v>236</v>
      </c>
      <c r="DV56" s="46"/>
    </row>
    <row r="57" spans="1:126" ht="1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5"/>
      <c r="L57" s="5"/>
      <c r="M57" s="5"/>
      <c r="N57" s="5"/>
      <c r="O57" s="5"/>
      <c r="P57" s="5"/>
      <c r="Q57" s="5"/>
      <c r="R57" s="5"/>
      <c r="S57" s="9" t="s">
        <v>87</v>
      </c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130"/>
      <c r="AF57" s="142"/>
      <c r="AG57" s="117"/>
      <c r="AH57" s="117"/>
      <c r="AI57" s="148"/>
      <c r="AJ57" s="5"/>
      <c r="AK57" s="8" t="s">
        <v>87</v>
      </c>
      <c r="AL57" s="5"/>
      <c r="AM57" s="5"/>
      <c r="AN57" s="5"/>
      <c r="AO57" s="138"/>
      <c r="AP57" s="162"/>
      <c r="AQ57" s="149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117"/>
      <c r="BE57" s="117"/>
      <c r="BF57" s="117"/>
      <c r="BG57" s="117"/>
      <c r="BH57" s="117"/>
      <c r="BI57" s="117"/>
      <c r="BJ57" s="117"/>
      <c r="BK57" s="117"/>
      <c r="BL57" s="121"/>
      <c r="BM57" s="157"/>
      <c r="BN57" s="5"/>
      <c r="BO57" s="5"/>
      <c r="BP57" s="5"/>
      <c r="BQ57" s="5"/>
      <c r="BR57" s="5"/>
      <c r="BS57" s="5"/>
      <c r="BT57" s="5"/>
      <c r="BU57" s="445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DO57" s="41"/>
      <c r="DP57" s="46">
        <v>26</v>
      </c>
      <c r="DQ57" s="46">
        <v>36</v>
      </c>
      <c r="DR57" s="46">
        <v>674</v>
      </c>
      <c r="DS57" s="46">
        <v>49</v>
      </c>
      <c r="DT57" s="46">
        <v>1325</v>
      </c>
      <c r="DU57" s="46">
        <v>257</v>
      </c>
      <c r="DV57" s="46"/>
    </row>
    <row r="58" spans="1:126" ht="1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9" t="s">
        <v>87</v>
      </c>
      <c r="X58" s="5"/>
      <c r="Y58" s="5"/>
      <c r="Z58" s="5"/>
      <c r="AA58" s="5"/>
      <c r="AB58" s="5"/>
      <c r="AC58" s="5"/>
      <c r="AD58" s="5"/>
      <c r="AE58" s="5"/>
      <c r="AF58" s="161"/>
      <c r="AG58" s="128"/>
      <c r="AH58" s="161"/>
      <c r="AI58" s="148"/>
      <c r="AJ58" s="5"/>
      <c r="AK58" s="5"/>
      <c r="AL58" s="5"/>
      <c r="AM58" s="5"/>
      <c r="AN58" s="5"/>
      <c r="AO58" s="5"/>
      <c r="AP58" s="157"/>
      <c r="AQ58" s="117"/>
      <c r="AR58" s="117"/>
      <c r="AS58" s="117"/>
      <c r="AT58" s="117"/>
      <c r="AU58" s="117"/>
      <c r="AV58" s="117"/>
      <c r="AW58" s="117"/>
      <c r="AX58" s="117"/>
      <c r="AY58" s="117"/>
      <c r="AZ58" s="117"/>
      <c r="BA58" s="117"/>
      <c r="BB58" s="117"/>
      <c r="BC58" s="117"/>
      <c r="BD58" s="117"/>
      <c r="BE58" s="117"/>
      <c r="BF58" s="117"/>
      <c r="BG58" s="117"/>
      <c r="BH58" s="141"/>
      <c r="BI58" s="164"/>
      <c r="BJ58" s="161"/>
      <c r="BK58" s="116"/>
      <c r="BL58" s="164"/>
      <c r="BM58" s="446"/>
      <c r="BN58" s="447"/>
      <c r="BO58" s="448"/>
      <c r="BP58" s="5"/>
      <c r="BQ58" s="449"/>
      <c r="BR58" s="5"/>
      <c r="BS58" s="5"/>
      <c r="BT58" s="5"/>
      <c r="BU58" s="5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DO58" s="41"/>
      <c r="DP58" s="46">
        <v>27</v>
      </c>
      <c r="DQ58" s="46">
        <v>39</v>
      </c>
      <c r="DR58" s="46">
        <v>715</v>
      </c>
      <c r="DS58" s="46">
        <v>52</v>
      </c>
      <c r="DT58" s="46">
        <v>1437</v>
      </c>
      <c r="DU58" s="46">
        <v>280</v>
      </c>
      <c r="DV58" s="46"/>
    </row>
    <row r="59" spans="1:126" ht="1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128"/>
      <c r="AF59" s="5"/>
      <c r="AG59" s="5"/>
      <c r="AH59" s="151"/>
      <c r="AI59" s="155"/>
      <c r="AJ59" s="5"/>
      <c r="AK59" s="5"/>
      <c r="AL59" s="153"/>
      <c r="AM59" s="165"/>
      <c r="AN59" s="5"/>
      <c r="AO59" s="5"/>
      <c r="AP59" s="154"/>
      <c r="AQ59" s="117"/>
      <c r="AR59" s="117"/>
      <c r="AS59" s="117"/>
      <c r="AT59" s="117"/>
      <c r="AU59" s="117"/>
      <c r="AV59" s="117"/>
      <c r="AW59" s="117"/>
      <c r="AX59" s="117"/>
      <c r="AY59" s="117"/>
      <c r="AZ59" s="117"/>
      <c r="BA59" s="117"/>
      <c r="BB59" s="117"/>
      <c r="BC59" s="117"/>
      <c r="BD59" s="117"/>
      <c r="BE59" s="117"/>
      <c r="BF59" s="117"/>
      <c r="BG59" s="153"/>
      <c r="BH59" s="157"/>
      <c r="BI59" s="5"/>
      <c r="BJ59" s="450"/>
      <c r="BK59" s="451"/>
      <c r="BL59" s="452"/>
      <c r="BM59" s="5"/>
      <c r="BN59" s="5"/>
      <c r="BO59" s="453"/>
      <c r="BP59" s="5"/>
      <c r="BQ59" s="454"/>
      <c r="BR59" s="5"/>
      <c r="BS59" s="5"/>
      <c r="BT59" s="5"/>
      <c r="BU59" s="5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DO59" s="41"/>
      <c r="DP59" s="46">
        <v>28</v>
      </c>
      <c r="DQ59" s="46">
        <v>41</v>
      </c>
      <c r="DR59" s="46">
        <v>757</v>
      </c>
      <c r="DS59" s="46">
        <v>54</v>
      </c>
      <c r="DT59" s="46">
        <v>1560</v>
      </c>
      <c r="DU59" s="46">
        <v>304</v>
      </c>
      <c r="DV59" s="46"/>
    </row>
    <row r="60" spans="1:126" ht="1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8" t="s">
        <v>87</v>
      </c>
      <c r="AB60" s="5"/>
      <c r="AC60" s="5"/>
      <c r="AD60" s="5"/>
      <c r="AE60" s="5"/>
      <c r="AF60" s="5"/>
      <c r="AG60" s="5"/>
      <c r="AH60" s="5"/>
      <c r="AI60" s="5"/>
      <c r="AJ60" s="5"/>
      <c r="AK60" s="156"/>
      <c r="AL60" s="157"/>
      <c r="AM60" s="5"/>
      <c r="AN60" s="5"/>
      <c r="AO60" s="5"/>
      <c r="AP60" s="142"/>
      <c r="AQ60" s="117"/>
      <c r="AR60" s="117"/>
      <c r="AS60" s="117"/>
      <c r="AT60" s="117"/>
      <c r="AU60" s="117"/>
      <c r="AV60" s="117"/>
      <c r="AW60" s="117"/>
      <c r="AX60" s="117"/>
      <c r="AY60" s="117"/>
      <c r="AZ60" s="117"/>
      <c r="BA60" s="117"/>
      <c r="BB60" s="117"/>
      <c r="BC60" s="117"/>
      <c r="BD60" s="117"/>
      <c r="BE60" s="117"/>
      <c r="BF60" s="117"/>
      <c r="BG60" s="131"/>
      <c r="BH60" s="5"/>
      <c r="BI60" s="455"/>
      <c r="BJ60" s="456"/>
      <c r="BK60" s="457"/>
      <c r="BL60" s="458"/>
      <c r="BM60" s="5"/>
      <c r="BN60" s="5"/>
      <c r="BO60" s="5"/>
      <c r="BP60" s="5"/>
      <c r="BQ60" s="5"/>
      <c r="BR60" s="5"/>
      <c r="BS60" s="5"/>
      <c r="BT60" s="459"/>
      <c r="BU60" s="5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DO60" s="41"/>
      <c r="DP60" s="46">
        <v>29</v>
      </c>
      <c r="DQ60" s="46">
        <v>44</v>
      </c>
      <c r="DR60" s="46">
        <v>801</v>
      </c>
      <c r="DS60" s="46">
        <v>57</v>
      </c>
      <c r="DT60" s="46">
        <v>1685</v>
      </c>
      <c r="DU60" s="46">
        <v>331</v>
      </c>
      <c r="DV60" s="46"/>
    </row>
    <row r="61" spans="1:126" ht="1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460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143"/>
      <c r="Z61" s="140"/>
      <c r="AA61" s="116"/>
      <c r="AB61" s="159"/>
      <c r="AC61" s="5"/>
      <c r="AD61" s="151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121"/>
      <c r="AP61" s="121"/>
      <c r="AQ61" s="117"/>
      <c r="AR61" s="117"/>
      <c r="AS61" s="117"/>
      <c r="AT61" s="117"/>
      <c r="AU61" s="117"/>
      <c r="AV61" s="117"/>
      <c r="AW61" s="117"/>
      <c r="AX61" s="117"/>
      <c r="AY61" s="117"/>
      <c r="AZ61" s="117"/>
      <c r="BA61" s="117"/>
      <c r="BB61" s="117"/>
      <c r="BC61" s="117"/>
      <c r="BD61" s="117"/>
      <c r="BE61" s="117"/>
      <c r="BF61" s="117"/>
      <c r="BG61" s="144"/>
      <c r="BH61" s="5"/>
      <c r="BI61" s="461"/>
      <c r="BJ61" s="462"/>
      <c r="BK61" s="463"/>
      <c r="BL61" s="168"/>
      <c r="BM61" s="5"/>
      <c r="BN61" s="5"/>
      <c r="BO61" s="5"/>
      <c r="BP61" s="5"/>
      <c r="BQ61" s="5"/>
      <c r="BR61" s="5"/>
      <c r="BS61" s="464"/>
      <c r="BT61" s="5"/>
      <c r="BU61" s="5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DO61" s="41"/>
      <c r="DP61" s="46">
        <v>30</v>
      </c>
      <c r="DQ61" s="46">
        <v>47</v>
      </c>
      <c r="DR61" s="46">
        <v>846</v>
      </c>
      <c r="DS61" s="46">
        <v>59</v>
      </c>
      <c r="DT61" s="46">
        <v>1812</v>
      </c>
      <c r="DU61" s="46">
        <v>359</v>
      </c>
      <c r="DV61" s="46"/>
    </row>
    <row r="62" spans="1:126" ht="1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5"/>
      <c r="L62" s="465"/>
      <c r="M62" s="466"/>
      <c r="N62" s="5"/>
      <c r="O62" s="5"/>
      <c r="P62" s="5"/>
      <c r="Q62" s="5"/>
      <c r="R62" s="5"/>
      <c r="S62" s="5"/>
      <c r="T62" s="5"/>
      <c r="U62" s="5"/>
      <c r="V62" s="5"/>
      <c r="W62" s="5"/>
      <c r="X62" s="158"/>
      <c r="Y62" s="147"/>
      <c r="Z62" s="117"/>
      <c r="AA62" s="117"/>
      <c r="AB62" s="142"/>
      <c r="AC62" s="131"/>
      <c r="AD62" s="118"/>
      <c r="AE62" s="155"/>
      <c r="AF62" s="5"/>
      <c r="AG62" s="5"/>
      <c r="AH62" s="5"/>
      <c r="AI62" s="5"/>
      <c r="AJ62" s="5"/>
      <c r="AK62" s="5"/>
      <c r="AL62" s="5"/>
      <c r="AM62" s="5"/>
      <c r="AN62" s="154"/>
      <c r="AO62" s="155"/>
      <c r="AP62" s="117"/>
      <c r="AQ62" s="117"/>
      <c r="AR62" s="117"/>
      <c r="AS62" s="117"/>
      <c r="AT62" s="117"/>
      <c r="AU62" s="117"/>
      <c r="AV62" s="117"/>
      <c r="AW62" s="117"/>
      <c r="AX62" s="117"/>
      <c r="AY62" s="117"/>
      <c r="AZ62" s="117"/>
      <c r="BA62" s="117"/>
      <c r="BB62" s="117"/>
      <c r="BC62" s="117"/>
      <c r="BD62" s="117"/>
      <c r="BE62" s="117"/>
      <c r="BF62" s="117"/>
      <c r="BG62" s="160"/>
      <c r="BH62" s="5"/>
      <c r="BI62" s="5"/>
      <c r="BJ62" s="5"/>
      <c r="BK62" s="467"/>
      <c r="BL62" s="5"/>
      <c r="BM62" s="5"/>
      <c r="BN62" s="5"/>
      <c r="BO62" s="5"/>
      <c r="BP62" s="5"/>
      <c r="BQ62" s="5"/>
      <c r="BR62" s="5"/>
      <c r="BS62" s="468"/>
      <c r="BT62" s="469"/>
      <c r="BU62" s="5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DO62" s="41"/>
      <c r="DP62" s="46">
        <v>31</v>
      </c>
      <c r="DQ62" s="46">
        <v>50</v>
      </c>
      <c r="DR62" s="46">
        <v>894</v>
      </c>
      <c r="DS62" s="46">
        <v>62</v>
      </c>
      <c r="DT62" s="46">
        <v>1950</v>
      </c>
      <c r="DU62" s="46">
        <v>389</v>
      </c>
      <c r="DV62" s="46"/>
    </row>
    <row r="63" spans="1:126" ht="1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5"/>
      <c r="L63" s="5"/>
      <c r="M63" s="5"/>
      <c r="N63" s="5"/>
      <c r="O63" s="167"/>
      <c r="P63" s="5"/>
      <c r="Q63" s="5"/>
      <c r="R63" s="5"/>
      <c r="S63" s="5"/>
      <c r="T63" s="5"/>
      <c r="U63" s="5"/>
      <c r="V63" s="470"/>
      <c r="W63" s="5"/>
      <c r="X63" s="151"/>
      <c r="Y63" s="117"/>
      <c r="Z63" s="117"/>
      <c r="AA63" s="117"/>
      <c r="AB63" s="117"/>
      <c r="AC63" s="117"/>
      <c r="AD63" s="117"/>
      <c r="AE63" s="136"/>
      <c r="AF63" s="5"/>
      <c r="AG63" s="5"/>
      <c r="AH63" s="5"/>
      <c r="AI63" s="5"/>
      <c r="AJ63" s="5"/>
      <c r="AK63" s="5"/>
      <c r="AL63" s="5"/>
      <c r="AM63" s="5"/>
      <c r="AN63" s="133"/>
      <c r="AO63" s="142"/>
      <c r="AP63" s="117"/>
      <c r="AQ63" s="117"/>
      <c r="AR63" s="117"/>
      <c r="AS63" s="117"/>
      <c r="AT63" s="117"/>
      <c r="AU63" s="117"/>
      <c r="AV63" s="117"/>
      <c r="AW63" s="117"/>
      <c r="AX63" s="117"/>
      <c r="AY63" s="117"/>
      <c r="AZ63" s="117"/>
      <c r="BA63" s="117"/>
      <c r="BB63" s="117"/>
      <c r="BC63" s="117"/>
      <c r="BD63" s="117"/>
      <c r="BE63" s="117"/>
      <c r="BF63" s="151"/>
      <c r="BG63" s="121"/>
      <c r="BH63" s="471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472"/>
      <c r="BU63" s="5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DO63" s="41"/>
      <c r="DP63" s="46">
        <v>32</v>
      </c>
      <c r="DQ63" s="46">
        <v>53</v>
      </c>
      <c r="DR63" s="46">
        <v>943</v>
      </c>
      <c r="DS63" s="46">
        <v>65</v>
      </c>
      <c r="DT63" s="46">
        <v>2089</v>
      </c>
      <c r="DU63" s="46">
        <v>422</v>
      </c>
      <c r="DV63" s="46"/>
    </row>
    <row r="64" spans="1:126" ht="1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156"/>
      <c r="X64" s="166"/>
      <c r="Y64" s="117"/>
      <c r="Z64" s="117"/>
      <c r="AA64" s="117"/>
      <c r="AB64" s="117"/>
      <c r="AC64" s="117"/>
      <c r="AD64" s="117"/>
      <c r="AE64" s="155"/>
      <c r="AF64" s="126"/>
      <c r="AG64" s="134"/>
      <c r="AH64" s="5"/>
      <c r="AI64" s="5"/>
      <c r="AJ64" s="5"/>
      <c r="AK64" s="5"/>
      <c r="AL64" s="5"/>
      <c r="AM64" s="5"/>
      <c r="AN64" s="5"/>
      <c r="AO64" s="131"/>
      <c r="AP64" s="160"/>
      <c r="AQ64" s="117"/>
      <c r="AR64" s="117"/>
      <c r="AS64" s="117"/>
      <c r="AT64" s="117"/>
      <c r="AU64" s="117"/>
      <c r="AV64" s="117"/>
      <c r="AW64" s="117"/>
      <c r="AX64" s="117"/>
      <c r="AY64" s="117"/>
      <c r="AZ64" s="117"/>
      <c r="BA64" s="117"/>
      <c r="BB64" s="117"/>
      <c r="BC64" s="117"/>
      <c r="BD64" s="117"/>
      <c r="BE64" s="117"/>
      <c r="BF64" s="122"/>
      <c r="BG64" s="5"/>
      <c r="BH64" s="473"/>
      <c r="BI64" s="474"/>
      <c r="BJ64" s="5"/>
      <c r="BK64" s="5"/>
      <c r="BL64" s="5"/>
      <c r="BM64" s="9" t="s">
        <v>87</v>
      </c>
      <c r="BN64" s="5"/>
      <c r="BO64" s="5"/>
      <c r="BP64" s="5"/>
      <c r="BQ64" s="5"/>
      <c r="BR64" s="5"/>
      <c r="BS64" s="5"/>
      <c r="BT64" s="5"/>
      <c r="BU64" s="5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DO64" s="41"/>
      <c r="DP64" s="46">
        <v>33</v>
      </c>
      <c r="DQ64" s="46">
        <v>56</v>
      </c>
      <c r="DR64" s="46">
        <v>994</v>
      </c>
      <c r="DS64" s="46">
        <v>68</v>
      </c>
      <c r="DT64" s="46">
        <v>2235</v>
      </c>
      <c r="DU64" s="46">
        <v>456</v>
      </c>
      <c r="DV64" s="46"/>
    </row>
    <row r="65" spans="1:126" ht="1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5"/>
      <c r="L65" s="5"/>
      <c r="M65" s="475"/>
      <c r="N65" s="5"/>
      <c r="O65" s="5"/>
      <c r="P65" s="5"/>
      <c r="Q65" s="5"/>
      <c r="R65" s="5"/>
      <c r="S65" s="5"/>
      <c r="T65" s="5"/>
      <c r="U65" s="5"/>
      <c r="V65" s="5"/>
      <c r="W65" s="136"/>
      <c r="X65" s="130"/>
      <c r="Y65" s="146"/>
      <c r="Z65" s="117"/>
      <c r="AA65" s="117"/>
      <c r="AB65" s="117"/>
      <c r="AC65" s="117"/>
      <c r="AD65" s="117"/>
      <c r="AE65" s="117"/>
      <c r="AF65" s="117"/>
      <c r="AG65" s="127"/>
      <c r="AH65" s="5"/>
      <c r="AI65" s="5"/>
      <c r="AJ65" s="5"/>
      <c r="AK65" s="5"/>
      <c r="AL65" s="5"/>
      <c r="AM65" s="5"/>
      <c r="AN65" s="5"/>
      <c r="AO65" s="5"/>
      <c r="AP65" s="144"/>
      <c r="AQ65" s="117"/>
      <c r="AR65" s="117"/>
      <c r="AS65" s="117"/>
      <c r="AT65" s="117"/>
      <c r="AU65" s="117"/>
      <c r="AV65" s="117"/>
      <c r="AW65" s="117"/>
      <c r="AX65" s="117"/>
      <c r="AY65" s="117"/>
      <c r="AZ65" s="117"/>
      <c r="BA65" s="117"/>
      <c r="BB65" s="117"/>
      <c r="BC65" s="117"/>
      <c r="BD65" s="117"/>
      <c r="BE65" s="117"/>
      <c r="BF65" s="151"/>
      <c r="BG65" s="132"/>
      <c r="BH65" s="5"/>
      <c r="BI65" s="476"/>
      <c r="BJ65" s="5"/>
      <c r="BK65" s="5"/>
      <c r="BL65" s="5"/>
      <c r="BM65" s="5"/>
      <c r="BN65" s="5"/>
      <c r="BO65" s="5"/>
      <c r="BP65" s="477"/>
      <c r="BQ65" s="5"/>
      <c r="BR65" s="5"/>
      <c r="BS65" s="5"/>
      <c r="BT65" s="5"/>
      <c r="BU65" s="5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DO65" s="41"/>
      <c r="DP65" s="46">
        <v>34</v>
      </c>
      <c r="DQ65" s="46">
        <v>59</v>
      </c>
      <c r="DR65" s="46">
        <v>1048</v>
      </c>
      <c r="DS65" s="46">
        <v>71</v>
      </c>
      <c r="DT65" s="46">
        <v>2386</v>
      </c>
      <c r="DU65" s="46">
        <v>494</v>
      </c>
      <c r="DV65" s="46"/>
    </row>
    <row r="66" spans="1:126" ht="1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5"/>
      <c r="L66" s="5"/>
      <c r="M66" s="5"/>
      <c r="N66" s="5"/>
      <c r="O66" s="5"/>
      <c r="P66" s="478"/>
      <c r="Q66" s="5"/>
      <c r="R66" s="5"/>
      <c r="S66" s="5"/>
      <c r="T66" s="5"/>
      <c r="U66" s="5"/>
      <c r="V66" s="5"/>
      <c r="W66" s="5"/>
      <c r="X66" s="5"/>
      <c r="Y66" s="155"/>
      <c r="Z66" s="135"/>
      <c r="AA66" s="116"/>
      <c r="AB66" s="161"/>
      <c r="AC66" s="116"/>
      <c r="AD66" s="147"/>
      <c r="AE66" s="144"/>
      <c r="AF66" s="155"/>
      <c r="AG66" s="120"/>
      <c r="AH66" s="5"/>
      <c r="AI66" s="5"/>
      <c r="AJ66" s="5"/>
      <c r="AK66" s="5"/>
      <c r="AL66" s="5"/>
      <c r="AM66" s="5"/>
      <c r="AN66" s="5"/>
      <c r="AO66" s="5"/>
      <c r="AP66" s="122"/>
      <c r="AQ66" s="117"/>
      <c r="AR66" s="117"/>
      <c r="AS66" s="117"/>
      <c r="AT66" s="117"/>
      <c r="AU66" s="117"/>
      <c r="AV66" s="117"/>
      <c r="AW66" s="117"/>
      <c r="AX66" s="117"/>
      <c r="AY66" s="117"/>
      <c r="AZ66" s="117"/>
      <c r="BA66" s="117"/>
      <c r="BB66" s="125"/>
      <c r="BC66" s="139"/>
      <c r="BD66" s="149"/>
      <c r="BE66" s="117"/>
      <c r="BF66" s="117"/>
      <c r="BG66" s="158"/>
      <c r="BH66" s="479"/>
      <c r="BI66" s="5"/>
      <c r="BJ66" s="5"/>
      <c r="BK66" s="5"/>
      <c r="BL66" s="5"/>
      <c r="BM66" s="9" t="s">
        <v>87</v>
      </c>
      <c r="BN66" s="5"/>
      <c r="BO66" s="5"/>
      <c r="BP66" s="5"/>
      <c r="BQ66" s="480"/>
      <c r="BR66" s="5"/>
      <c r="BS66" s="5"/>
      <c r="BT66" s="5"/>
      <c r="BU66" s="5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DO66" s="41"/>
      <c r="DP66" s="46">
        <v>35</v>
      </c>
      <c r="DQ66" s="46">
        <v>63</v>
      </c>
      <c r="DR66" s="46">
        <v>1103</v>
      </c>
      <c r="DS66" s="46">
        <v>74</v>
      </c>
      <c r="DT66" s="46">
        <v>2543</v>
      </c>
      <c r="DU66" s="46">
        <v>534</v>
      </c>
      <c r="DV66" s="46"/>
    </row>
    <row r="67" spans="1:126" ht="1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5"/>
      <c r="L67" s="5"/>
      <c r="M67" s="5"/>
      <c r="N67" s="5"/>
      <c r="O67" s="5"/>
      <c r="P67" s="5"/>
      <c r="Q67" s="481"/>
      <c r="R67" s="5"/>
      <c r="S67" s="5"/>
      <c r="T67" s="5"/>
      <c r="U67" s="5"/>
      <c r="V67" s="5"/>
      <c r="W67" s="5"/>
      <c r="X67" s="5"/>
      <c r="Y67" s="5"/>
      <c r="Z67" s="5"/>
      <c r="AA67" s="5"/>
      <c r="AB67" s="120"/>
      <c r="AC67" s="5"/>
      <c r="AD67" s="5"/>
      <c r="AE67" s="128"/>
      <c r="AF67" s="127"/>
      <c r="AG67" s="5"/>
      <c r="AH67" s="5"/>
      <c r="AI67" s="5"/>
      <c r="AJ67" s="5"/>
      <c r="AK67" s="5"/>
      <c r="AL67" s="5"/>
      <c r="AM67" s="5"/>
      <c r="AN67" s="5"/>
      <c r="AO67" s="5"/>
      <c r="AP67" s="158"/>
      <c r="AQ67" s="117"/>
      <c r="AR67" s="117"/>
      <c r="AS67" s="117"/>
      <c r="AT67" s="117"/>
      <c r="AU67" s="117"/>
      <c r="AV67" s="117"/>
      <c r="AW67" s="117"/>
      <c r="AX67" s="125"/>
      <c r="AY67" s="140"/>
      <c r="AZ67" s="127"/>
      <c r="BA67" s="139"/>
      <c r="BB67" s="154"/>
      <c r="BC67" s="5"/>
      <c r="BD67" s="141"/>
      <c r="BE67" s="150"/>
      <c r="BF67" s="147"/>
      <c r="BG67" s="138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482"/>
      <c r="BU67" s="5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DO67" s="41"/>
      <c r="DP67" s="46">
        <v>36</v>
      </c>
      <c r="DQ67" s="46">
        <v>67</v>
      </c>
      <c r="DR67" s="46">
        <v>1160</v>
      </c>
      <c r="DS67" s="46">
        <v>77</v>
      </c>
      <c r="DT67" s="46">
        <v>2705</v>
      </c>
      <c r="DU67" s="46">
        <v>577</v>
      </c>
      <c r="DV67" s="46"/>
    </row>
    <row r="68" spans="1:126" ht="1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5"/>
      <c r="L68" s="5"/>
      <c r="M68" s="5"/>
      <c r="N68" s="5"/>
      <c r="O68" s="5"/>
      <c r="P68" s="5"/>
      <c r="Q68" s="483"/>
      <c r="R68" s="484"/>
      <c r="S68" s="5"/>
      <c r="T68" s="485"/>
      <c r="U68" s="5"/>
      <c r="V68" s="5"/>
      <c r="W68" s="5"/>
      <c r="X68" s="5"/>
      <c r="Y68" s="5"/>
      <c r="Z68" s="5"/>
      <c r="AA68" s="5"/>
      <c r="AB68" s="143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60"/>
      <c r="AQ68" s="117"/>
      <c r="AR68" s="117"/>
      <c r="AS68" s="117"/>
      <c r="AT68" s="117"/>
      <c r="AU68" s="117"/>
      <c r="AV68" s="117"/>
      <c r="AW68" s="117"/>
      <c r="AX68" s="160"/>
      <c r="AY68" s="5"/>
      <c r="AZ68" s="5"/>
      <c r="BA68" s="5"/>
      <c r="BB68" s="5"/>
      <c r="BC68" s="5"/>
      <c r="BD68" s="486"/>
      <c r="BE68" s="487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488"/>
      <c r="BS68" s="489"/>
      <c r="BT68" s="5"/>
      <c r="BU68" s="5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DO68" s="41"/>
      <c r="DP68" s="46">
        <v>37</v>
      </c>
      <c r="DQ68" s="46">
        <v>71</v>
      </c>
      <c r="DR68" s="46">
        <v>1220</v>
      </c>
      <c r="DS68" s="46">
        <v>81</v>
      </c>
      <c r="DT68" s="46">
        <v>2873</v>
      </c>
      <c r="DU68" s="46">
        <v>624</v>
      </c>
      <c r="DV68" s="46"/>
    </row>
    <row r="69" spans="1:126" ht="1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5"/>
      <c r="L69" s="5"/>
      <c r="M69" s="5"/>
      <c r="N69" s="5"/>
      <c r="O69" s="5"/>
      <c r="P69" s="5"/>
      <c r="Q69" s="490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156"/>
      <c r="AK69" s="157"/>
      <c r="AL69" s="5"/>
      <c r="AM69" s="5"/>
      <c r="AN69" s="5"/>
      <c r="AO69" s="5"/>
      <c r="AP69" s="163"/>
      <c r="AQ69" s="117"/>
      <c r="AR69" s="117"/>
      <c r="AS69" s="117"/>
      <c r="AT69" s="117"/>
      <c r="AU69" s="117"/>
      <c r="AV69" s="117"/>
      <c r="AW69" s="117"/>
      <c r="AX69" s="143"/>
      <c r="AY69" s="5"/>
      <c r="AZ69" s="491"/>
      <c r="BA69" s="5"/>
      <c r="BB69" s="5"/>
      <c r="BC69" s="5"/>
      <c r="BD69" s="492"/>
      <c r="BE69" s="5"/>
      <c r="BF69" s="5"/>
      <c r="BG69" s="5"/>
      <c r="BH69" s="493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494"/>
      <c r="BU69" s="5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DO69" s="41"/>
      <c r="DP69" s="46">
        <v>38</v>
      </c>
      <c r="DQ69" s="46">
        <v>75</v>
      </c>
      <c r="DR69" s="46">
        <v>1282</v>
      </c>
      <c r="DS69" s="46">
        <v>84</v>
      </c>
      <c r="DT69" s="46">
        <v>3045</v>
      </c>
      <c r="DU69" s="46">
        <v>673</v>
      </c>
      <c r="DV69" s="46"/>
    </row>
    <row r="70" spans="1:126" ht="1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5"/>
      <c r="L70" s="5"/>
      <c r="M70" s="5"/>
      <c r="N70" s="5"/>
      <c r="O70" s="5"/>
      <c r="P70" s="5"/>
      <c r="Q70" s="495"/>
      <c r="R70" s="496"/>
      <c r="S70" s="497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157"/>
      <c r="AL70" s="116"/>
      <c r="AM70" s="5"/>
      <c r="AN70" s="5"/>
      <c r="AO70" s="5"/>
      <c r="AP70" s="159"/>
      <c r="AQ70" s="149"/>
      <c r="AR70" s="117"/>
      <c r="AS70" s="117"/>
      <c r="AT70" s="117"/>
      <c r="AU70" s="117"/>
      <c r="AV70" s="117"/>
      <c r="AW70" s="117"/>
      <c r="AX70" s="127"/>
      <c r="AY70" s="5"/>
      <c r="AZ70" s="498"/>
      <c r="BA70" s="499"/>
      <c r="BB70" s="170"/>
      <c r="BC70" s="5"/>
      <c r="BD70" s="5"/>
      <c r="BE70" s="5"/>
      <c r="BF70" s="5"/>
      <c r="BG70" s="5"/>
      <c r="BH70" s="5"/>
      <c r="BI70" s="5"/>
      <c r="BJ70" s="500"/>
      <c r="BK70" s="501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DO70" s="41"/>
      <c r="DP70" s="46">
        <v>39</v>
      </c>
      <c r="DQ70" s="46">
        <v>80</v>
      </c>
      <c r="DR70" s="46">
        <v>1346</v>
      </c>
      <c r="DS70" s="46">
        <v>88</v>
      </c>
      <c r="DT70" s="46">
        <v>3227</v>
      </c>
      <c r="DU70" s="46">
        <v>726</v>
      </c>
      <c r="DV70" s="46"/>
    </row>
    <row r="71" spans="1:126" ht="1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156"/>
      <c r="AH71" s="5"/>
      <c r="AI71" s="5"/>
      <c r="AJ71" s="5"/>
      <c r="AK71" s="149"/>
      <c r="AL71" s="146"/>
      <c r="AM71" s="5"/>
      <c r="AN71" s="5"/>
      <c r="AO71" s="5"/>
      <c r="AP71" s="5"/>
      <c r="AQ71" s="148"/>
      <c r="AR71" s="152"/>
      <c r="AS71" s="117"/>
      <c r="AT71" s="117"/>
      <c r="AU71" s="117"/>
      <c r="AV71" s="117"/>
      <c r="AW71" s="117"/>
      <c r="AX71" s="139"/>
      <c r="AY71" s="159"/>
      <c r="AZ71" s="158"/>
      <c r="BA71" s="502"/>
      <c r="BB71" s="503"/>
      <c r="BC71" s="5"/>
      <c r="BD71" s="504"/>
      <c r="BE71" s="5"/>
      <c r="BF71" s="5"/>
      <c r="BG71" s="5"/>
      <c r="BH71" s="505"/>
      <c r="BI71" s="481"/>
      <c r="BJ71" s="5"/>
      <c r="BK71" s="5"/>
      <c r="BL71" s="506"/>
      <c r="BM71" s="5"/>
      <c r="BN71" s="5"/>
      <c r="BO71" s="5"/>
      <c r="BP71" s="5"/>
      <c r="BQ71" s="5"/>
      <c r="BR71" s="5"/>
      <c r="BS71" s="5"/>
      <c r="BT71" s="5"/>
      <c r="BU71" s="5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DO71" s="41"/>
      <c r="DP71" s="46">
        <v>40</v>
      </c>
      <c r="DQ71" s="46">
        <v>84</v>
      </c>
      <c r="DR71" s="46">
        <v>1413</v>
      </c>
      <c r="DS71" s="46">
        <v>92</v>
      </c>
      <c r="DT71" s="46">
        <v>3407</v>
      </c>
      <c r="DU71" s="46">
        <v>783</v>
      </c>
      <c r="DV71" s="46"/>
    </row>
    <row r="72" spans="1:126" ht="1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6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07"/>
      <c r="Z72" s="5"/>
      <c r="AA72" s="5"/>
      <c r="AB72" s="5"/>
      <c r="AC72" s="5"/>
      <c r="AD72" s="5"/>
      <c r="AE72" s="5"/>
      <c r="AF72" s="162"/>
      <c r="AG72" s="128"/>
      <c r="AH72" s="164"/>
      <c r="AI72" s="126"/>
      <c r="AJ72" s="153"/>
      <c r="AK72" s="146"/>
      <c r="AL72" s="143"/>
      <c r="AM72" s="5"/>
      <c r="AN72" s="5"/>
      <c r="AO72" s="5"/>
      <c r="AP72" s="5"/>
      <c r="AQ72" s="5"/>
      <c r="AR72" s="156"/>
      <c r="AS72" s="117"/>
      <c r="AT72" s="117"/>
      <c r="AU72" s="117"/>
      <c r="AV72" s="117"/>
      <c r="AW72" s="117"/>
      <c r="AX72" s="117"/>
      <c r="AY72" s="117"/>
      <c r="AZ72" s="138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08"/>
      <c r="BN72" s="5"/>
      <c r="BO72" s="5"/>
      <c r="BP72" s="5"/>
      <c r="BQ72" s="509"/>
      <c r="BR72" s="5"/>
      <c r="BS72" s="5"/>
      <c r="BT72" s="5"/>
      <c r="BU72" s="5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DO72" s="41"/>
      <c r="DP72" s="46">
        <v>41</v>
      </c>
      <c r="DQ72" s="46">
        <v>89</v>
      </c>
      <c r="DR72" s="46">
        <v>1482</v>
      </c>
      <c r="DS72" s="46">
        <v>96</v>
      </c>
      <c r="DT72" s="46">
        <v>3597</v>
      </c>
      <c r="DU72" s="46">
        <v>844</v>
      </c>
      <c r="DV72" s="46"/>
    </row>
    <row r="73" spans="1:126" ht="1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6" t="s">
        <v>87</v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10"/>
      <c r="AA73" s="5"/>
      <c r="AB73" s="5"/>
      <c r="AC73" s="5"/>
      <c r="AD73" s="5"/>
      <c r="AE73" s="5"/>
      <c r="AF73" s="5"/>
      <c r="AG73" s="511"/>
      <c r="AH73" s="5"/>
      <c r="AI73" s="151"/>
      <c r="AJ73" s="155"/>
      <c r="AK73" s="156"/>
      <c r="AL73" s="132"/>
      <c r="AM73" s="5"/>
      <c r="AN73" s="5"/>
      <c r="AO73" s="5"/>
      <c r="AP73" s="5"/>
      <c r="AQ73" s="5"/>
      <c r="AR73" s="134"/>
      <c r="AS73" s="117"/>
      <c r="AT73" s="117"/>
      <c r="AU73" s="117"/>
      <c r="AV73" s="117"/>
      <c r="AW73" s="117"/>
      <c r="AX73" s="117"/>
      <c r="AY73" s="117"/>
      <c r="AZ73" s="150"/>
      <c r="BA73" s="5"/>
      <c r="BB73" s="5"/>
      <c r="BC73" s="512"/>
      <c r="BD73" s="5"/>
      <c r="BE73" s="5"/>
      <c r="BF73" s="5"/>
      <c r="BG73" s="5"/>
      <c r="BH73" s="5"/>
      <c r="BI73" s="5"/>
      <c r="BJ73" s="5"/>
      <c r="BK73" s="513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DO73" s="41"/>
      <c r="DP73" s="46">
        <v>42</v>
      </c>
      <c r="DQ73" s="46">
        <v>94</v>
      </c>
      <c r="DR73" s="46">
        <v>1554</v>
      </c>
      <c r="DS73" s="46">
        <v>100</v>
      </c>
      <c r="DT73" s="46">
        <v>3796</v>
      </c>
      <c r="DU73" s="46">
        <v>910</v>
      </c>
      <c r="DV73" s="46"/>
    </row>
    <row r="74" spans="1:126" ht="1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DO74" s="41"/>
      <c r="DP74" s="46">
        <v>43</v>
      </c>
      <c r="DQ74" s="46">
        <v>100</v>
      </c>
      <c r="DR74" s="46">
        <v>1628</v>
      </c>
      <c r="DS74" s="46">
        <v>105</v>
      </c>
      <c r="DT74" s="46">
        <v>3993</v>
      </c>
      <c r="DU74" s="46">
        <v>980</v>
      </c>
      <c r="DV74" s="46"/>
    </row>
    <row r="75" spans="1:126" ht="1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DO75" s="41"/>
      <c r="DP75" s="46">
        <v>44</v>
      </c>
      <c r="DQ75" s="46">
        <v>106</v>
      </c>
      <c r="DR75" s="46">
        <v>1705</v>
      </c>
      <c r="DS75" s="46">
        <v>109</v>
      </c>
      <c r="DT75" s="46">
        <v>4203</v>
      </c>
      <c r="DU75" s="46">
        <v>1055</v>
      </c>
      <c r="DV75" s="46"/>
    </row>
    <row r="76" spans="1:126" ht="1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DP76" s="46">
        <v>45</v>
      </c>
      <c r="DQ76" s="46">
        <v>112</v>
      </c>
      <c r="DR76" s="46">
        <v>1785</v>
      </c>
      <c r="DS76" s="46">
        <v>114</v>
      </c>
      <c r="DT76" s="46">
        <v>4415</v>
      </c>
      <c r="DU76" s="46">
        <v>1135</v>
      </c>
      <c r="DV76" s="46"/>
    </row>
    <row r="77" spans="1:126" ht="1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DP77" s="46">
        <v>46</v>
      </c>
      <c r="DQ77" s="46">
        <v>118</v>
      </c>
      <c r="DR77" s="46">
        <v>1868</v>
      </c>
      <c r="DS77" s="46">
        <v>119</v>
      </c>
      <c r="DT77" s="46">
        <v>4634</v>
      </c>
      <c r="DU77" s="46">
        <v>1221</v>
      </c>
      <c r="DV77" s="46"/>
    </row>
    <row r="78" spans="1:126" ht="1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DP78" s="46">
        <v>47</v>
      </c>
      <c r="DQ78" s="46">
        <v>125</v>
      </c>
      <c r="DR78" s="46">
        <v>1954</v>
      </c>
      <c r="DS78" s="46">
        <v>124</v>
      </c>
      <c r="DT78" s="46">
        <v>4854</v>
      </c>
      <c r="DU78" s="46">
        <v>1313</v>
      </c>
      <c r="DV78" s="46"/>
    </row>
    <row r="79" spans="1:126" ht="1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DP79" s="46">
        <v>48</v>
      </c>
      <c r="DQ79" s="46">
        <v>131</v>
      </c>
      <c r="DR79" s="46">
        <v>2044</v>
      </c>
      <c r="DS79" s="46">
        <v>129</v>
      </c>
      <c r="DT79" s="46">
        <v>5086</v>
      </c>
      <c r="DU79" s="46">
        <v>1411</v>
      </c>
      <c r="DV79" s="46"/>
    </row>
    <row r="80" spans="1:126" ht="1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DP80" s="46">
        <v>49</v>
      </c>
      <c r="DQ80" s="46">
        <v>139</v>
      </c>
      <c r="DR80" s="46">
        <v>2136</v>
      </c>
      <c r="DS80" s="46">
        <v>135</v>
      </c>
      <c r="DT80" s="46">
        <v>5318</v>
      </c>
      <c r="DU80" s="46">
        <v>1516</v>
      </c>
      <c r="DV80" s="46"/>
    </row>
    <row r="81" spans="1:126" ht="1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DP81" s="46">
        <v>50</v>
      </c>
      <c r="DQ81" s="46">
        <v>147</v>
      </c>
      <c r="DR81" s="46">
        <v>2232</v>
      </c>
      <c r="DS81" s="46">
        <v>140</v>
      </c>
      <c r="DT81" s="46">
        <v>5561</v>
      </c>
      <c r="DU81" s="46">
        <v>1629</v>
      </c>
      <c r="DV81" s="46"/>
    </row>
    <row r="82" spans="1:126" ht="1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DP82" s="46">
        <v>51</v>
      </c>
      <c r="DQ82" s="46">
        <v>155</v>
      </c>
      <c r="DR82" s="46">
        <v>2332</v>
      </c>
      <c r="DS82" s="46">
        <v>146</v>
      </c>
      <c r="DT82" s="46">
        <v>5808</v>
      </c>
      <c r="DU82" s="46">
        <v>1749</v>
      </c>
      <c r="DV82" s="46"/>
    </row>
    <row r="83" spans="1:126" ht="1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DP83" s="46">
        <v>52</v>
      </c>
      <c r="DQ83" s="46">
        <v>163</v>
      </c>
      <c r="DR83" s="46">
        <v>2435</v>
      </c>
      <c r="DS83" s="46">
        <v>152</v>
      </c>
      <c r="DT83" s="46">
        <v>6064</v>
      </c>
      <c r="DU83" s="46">
        <v>1878</v>
      </c>
      <c r="DV83" s="46"/>
    </row>
    <row r="84" spans="1:126" ht="1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DP84" s="46">
        <v>53</v>
      </c>
      <c r="DQ84" s="46">
        <v>172</v>
      </c>
      <c r="DR84" s="46">
        <v>2541</v>
      </c>
      <c r="DS84" s="46">
        <v>159</v>
      </c>
      <c r="DT84" s="46">
        <v>6324</v>
      </c>
      <c r="DU84" s="46">
        <v>2015</v>
      </c>
      <c r="DV84" s="46"/>
    </row>
    <row r="85" spans="1:126" ht="1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DP85" s="46">
        <v>54</v>
      </c>
      <c r="DQ85" s="46">
        <v>181</v>
      </c>
      <c r="DR85" s="46">
        <v>2652</v>
      </c>
      <c r="DS85" s="46">
        <v>165</v>
      </c>
      <c r="DT85" s="46">
        <v>6585</v>
      </c>
      <c r="DU85" s="46">
        <v>2162</v>
      </c>
      <c r="DV85" s="46"/>
    </row>
    <row r="86" spans="1:126" ht="1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DP86" s="46">
        <v>55</v>
      </c>
      <c r="DQ86" s="46">
        <v>191</v>
      </c>
      <c r="DR86" s="46">
        <v>2766</v>
      </c>
      <c r="DS86" s="46">
        <v>172</v>
      </c>
      <c r="DT86" s="46">
        <v>6859</v>
      </c>
      <c r="DU86" s="46">
        <v>2319</v>
      </c>
      <c r="DV86" s="46"/>
    </row>
    <row r="87" spans="1:126" ht="1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DP87" s="46">
        <v>56</v>
      </c>
      <c r="DQ87" s="46">
        <v>202</v>
      </c>
      <c r="DR87" s="46">
        <v>2885</v>
      </c>
      <c r="DS87" s="46">
        <v>179</v>
      </c>
      <c r="DT87" s="46">
        <v>7134</v>
      </c>
      <c r="DU87" s="46">
        <v>2486</v>
      </c>
      <c r="DV87" s="46"/>
    </row>
    <row r="88" spans="1:126" ht="1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DP88" s="46">
        <v>57</v>
      </c>
      <c r="DQ88" s="46">
        <v>212</v>
      </c>
      <c r="DR88" s="46">
        <v>3008</v>
      </c>
      <c r="DS88" s="46">
        <v>187</v>
      </c>
      <c r="DT88" s="46">
        <v>7413</v>
      </c>
      <c r="DU88" s="46">
        <v>2665</v>
      </c>
      <c r="DV88" s="46"/>
    </row>
    <row r="89" spans="1:126" ht="1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DP89" s="46">
        <v>58</v>
      </c>
      <c r="DQ89" s="46">
        <v>224</v>
      </c>
      <c r="DR89" s="46">
        <v>3135</v>
      </c>
      <c r="DS89" s="46">
        <v>195</v>
      </c>
      <c r="DT89" s="46">
        <v>7703</v>
      </c>
      <c r="DU89" s="46">
        <v>2857</v>
      </c>
      <c r="DV89" s="46"/>
    </row>
    <row r="90" spans="1:126" ht="1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DP90" s="46">
        <v>59</v>
      </c>
      <c r="DQ90" s="46">
        <v>236</v>
      </c>
      <c r="DR90" s="46">
        <v>3267</v>
      </c>
      <c r="DS90" s="46">
        <v>203</v>
      </c>
      <c r="DT90" s="46">
        <v>7996</v>
      </c>
      <c r="DU90" s="46">
        <v>3061</v>
      </c>
      <c r="DV90" s="46"/>
    </row>
    <row r="91" spans="1:126" ht="1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DP91" s="46">
        <v>60</v>
      </c>
      <c r="DQ91" s="46">
        <v>248</v>
      </c>
      <c r="DR91" s="46">
        <v>3403</v>
      </c>
      <c r="DS91" s="46">
        <v>211</v>
      </c>
      <c r="DT91" s="46">
        <v>8265</v>
      </c>
      <c r="DU91" s="46">
        <v>3279</v>
      </c>
      <c r="DV91" s="46"/>
    </row>
    <row r="92" spans="1:126" ht="1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DP92" s="46">
        <v>61</v>
      </c>
      <c r="DQ92" s="46">
        <v>262</v>
      </c>
      <c r="DR92" s="46">
        <v>3544</v>
      </c>
      <c r="DS92" s="46">
        <v>220</v>
      </c>
      <c r="DT92" s="46">
        <v>8525</v>
      </c>
      <c r="DU92" s="46">
        <v>3512</v>
      </c>
      <c r="DV92" s="46"/>
    </row>
    <row r="93" spans="1:126" ht="1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DP93" s="46">
        <v>62</v>
      </c>
      <c r="DQ93" s="46">
        <v>275</v>
      </c>
      <c r="DR93" s="46">
        <v>3690</v>
      </c>
      <c r="DS93" s="46">
        <v>229</v>
      </c>
      <c r="DT93" s="46">
        <v>8781</v>
      </c>
      <c r="DU93" s="46">
        <v>3760</v>
      </c>
      <c r="DV93" s="46"/>
    </row>
    <row r="94" spans="1:126" ht="1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DP94" s="46">
        <v>63</v>
      </c>
      <c r="DQ94" s="46">
        <v>290</v>
      </c>
      <c r="DR94" s="46">
        <v>3842</v>
      </c>
      <c r="DS94" s="46">
        <v>238</v>
      </c>
      <c r="DT94" s="46">
        <v>9032</v>
      </c>
      <c r="DU94" s="46">
        <v>4025</v>
      </c>
      <c r="DV94" s="46"/>
    </row>
    <row r="95" spans="1:126" ht="1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DP95" s="46">
        <v>64</v>
      </c>
      <c r="DQ95" s="46">
        <v>305</v>
      </c>
      <c r="DR95" s="46">
        <v>3998</v>
      </c>
      <c r="DS95" s="46">
        <v>247</v>
      </c>
      <c r="DT95" s="46">
        <v>9283</v>
      </c>
      <c r="DU95" s="46">
        <v>4308</v>
      </c>
      <c r="DV95" s="46"/>
    </row>
    <row r="96" spans="1:126" ht="1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DP96" s="46">
        <v>65</v>
      </c>
      <c r="DQ96" s="46">
        <v>321</v>
      </c>
      <c r="DR96" s="46">
        <v>4160</v>
      </c>
      <c r="DS96" s="46">
        <v>257</v>
      </c>
      <c r="DT96" s="46">
        <v>9532</v>
      </c>
      <c r="DU96" s="46">
        <v>4610</v>
      </c>
      <c r="DV96" s="46"/>
    </row>
    <row r="97" spans="1:126" ht="1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DP97" s="46">
        <v>66</v>
      </c>
      <c r="DQ97" s="46">
        <v>338</v>
      </c>
      <c r="DR97" s="46">
        <v>4328</v>
      </c>
      <c r="DS97" s="46">
        <v>268</v>
      </c>
      <c r="DT97" s="46">
        <v>9773</v>
      </c>
      <c r="DU97" s="46">
        <v>4932</v>
      </c>
      <c r="DV97" s="46"/>
    </row>
    <row r="98" spans="1:126" ht="1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DP98" s="46">
        <v>67</v>
      </c>
      <c r="DQ98" s="46">
        <v>355</v>
      </c>
      <c r="DR98" s="46">
        <v>4501</v>
      </c>
      <c r="DS98" s="46">
        <v>279</v>
      </c>
      <c r="DT98" s="46">
        <v>10014</v>
      </c>
      <c r="DU98" s="46">
        <v>5276</v>
      </c>
      <c r="DV98" s="46"/>
    </row>
    <row r="99" spans="1:126" ht="1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DP99" s="46">
        <v>68</v>
      </c>
      <c r="DQ99" s="46">
        <v>374</v>
      </c>
      <c r="DR99" s="46">
        <v>4681</v>
      </c>
      <c r="DS99" s="46">
        <v>290</v>
      </c>
      <c r="DT99" s="46">
        <v>10255</v>
      </c>
      <c r="DU99" s="46">
        <v>5642</v>
      </c>
      <c r="DV99" s="46"/>
    </row>
    <row r="100" spans="1:126" ht="1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DP100" s="46">
        <v>69</v>
      </c>
      <c r="DQ100" s="46">
        <v>393</v>
      </c>
      <c r="DR100" s="46">
        <v>4867</v>
      </c>
      <c r="DS100" s="46">
        <v>301</v>
      </c>
      <c r="DT100" s="46">
        <v>10487</v>
      </c>
      <c r="DU100" s="46">
        <v>6033</v>
      </c>
      <c r="DV100" s="46"/>
    </row>
    <row r="101" spans="1:126" ht="15" customHeight="1">
      <c r="DP101" s="46">
        <v>70</v>
      </c>
      <c r="DQ101" s="46">
        <v>413</v>
      </c>
      <c r="DR101" s="46">
        <v>5059</v>
      </c>
      <c r="DS101" s="46">
        <v>314</v>
      </c>
      <c r="DT101" s="46">
        <v>10720</v>
      </c>
      <c r="DU101" s="46">
        <v>6449</v>
      </c>
      <c r="DV101" s="46"/>
    </row>
    <row r="102" spans="1:126" ht="15" customHeight="1">
      <c r="DP102" s="46">
        <v>71</v>
      </c>
      <c r="DQ102" s="46">
        <v>434</v>
      </c>
      <c r="DR102" s="46">
        <v>5258</v>
      </c>
      <c r="DS102" s="46">
        <v>326</v>
      </c>
      <c r="DT102" s="46">
        <v>10949</v>
      </c>
      <c r="DU102" s="46">
        <v>6894</v>
      </c>
      <c r="DV102" s="46"/>
    </row>
    <row r="103" spans="1:126" ht="15" customHeight="1">
      <c r="DP103" s="46">
        <v>72</v>
      </c>
      <c r="DQ103" s="46">
        <v>456</v>
      </c>
      <c r="DR103" s="46">
        <v>5463</v>
      </c>
      <c r="DS103" s="46">
        <v>339</v>
      </c>
      <c r="DT103" s="46">
        <v>11170</v>
      </c>
      <c r="DU103" s="46">
        <v>7367</v>
      </c>
      <c r="DV103" s="46"/>
    </row>
    <row r="104" spans="1:126" ht="15" customHeight="1">
      <c r="DP104" s="46">
        <v>73</v>
      </c>
      <c r="DQ104" s="46">
        <v>480</v>
      </c>
      <c r="DR104" s="46">
        <v>5676</v>
      </c>
      <c r="DS104" s="46">
        <v>352</v>
      </c>
      <c r="DT104" s="46">
        <v>11388</v>
      </c>
      <c r="DU104" s="46">
        <v>7872</v>
      </c>
      <c r="DV104" s="46"/>
    </row>
    <row r="105" spans="1:126" ht="15" customHeight="1">
      <c r="DP105" s="46">
        <v>74</v>
      </c>
      <c r="DQ105" s="46">
        <v>504</v>
      </c>
      <c r="DR105" s="46">
        <v>5895</v>
      </c>
      <c r="DS105" s="46">
        <v>366</v>
      </c>
      <c r="DT105" s="46">
        <v>11601</v>
      </c>
      <c r="DU105" s="46">
        <v>8410</v>
      </c>
      <c r="DV105" s="46"/>
    </row>
    <row r="106" spans="1:126" ht="15" customHeight="1">
      <c r="DP106" s="46">
        <v>75</v>
      </c>
      <c r="DQ106" s="46">
        <v>530</v>
      </c>
      <c r="DR106" s="46">
        <v>6123</v>
      </c>
      <c r="DS106" s="46">
        <v>381</v>
      </c>
      <c r="DT106" s="46">
        <v>11804</v>
      </c>
      <c r="DU106" s="46">
        <v>8984</v>
      </c>
      <c r="DV106" s="46"/>
    </row>
    <row r="107" spans="1:126" ht="15" customHeight="1">
      <c r="DP107" s="46">
        <v>76</v>
      </c>
      <c r="DQ107" s="46">
        <v>556</v>
      </c>
      <c r="DR107" s="46">
        <v>6358</v>
      </c>
      <c r="DS107" s="46">
        <v>396</v>
      </c>
      <c r="DT107" s="46">
        <v>12004</v>
      </c>
      <c r="DU107" s="46">
        <v>9595</v>
      </c>
      <c r="DV107" s="46"/>
    </row>
    <row r="108" spans="1:126" ht="15" customHeight="1">
      <c r="DP108" s="46">
        <v>77</v>
      </c>
      <c r="DQ108" s="46">
        <v>584</v>
      </c>
      <c r="DR108" s="46">
        <v>6601</v>
      </c>
      <c r="DS108" s="46">
        <v>412</v>
      </c>
      <c r="DT108" s="46">
        <v>12192</v>
      </c>
      <c r="DU108" s="46">
        <v>10246</v>
      </c>
      <c r="DV108" s="46"/>
    </row>
    <row r="109" spans="1:126" ht="15" customHeight="1">
      <c r="DP109" s="46">
        <v>78</v>
      </c>
      <c r="DQ109" s="46">
        <v>614</v>
      </c>
      <c r="DR109" s="46">
        <v>6852</v>
      </c>
      <c r="DS109" s="46">
        <v>428</v>
      </c>
      <c r="DT109" s="46">
        <v>12377</v>
      </c>
      <c r="DU109" s="46">
        <v>10940</v>
      </c>
      <c r="DV109" s="46"/>
    </row>
    <row r="110" spans="1:126" ht="15" customHeight="1">
      <c r="DP110" s="46">
        <v>79</v>
      </c>
      <c r="DQ110" s="46">
        <v>645</v>
      </c>
      <c r="DR110" s="46">
        <v>7112</v>
      </c>
      <c r="DS110" s="46">
        <v>444</v>
      </c>
      <c r="DT110" s="46">
        <v>12549</v>
      </c>
      <c r="DU110" s="46">
        <v>11679</v>
      </c>
      <c r="DV110" s="46"/>
    </row>
    <row r="111" spans="1:126" ht="15" customHeight="1">
      <c r="Q111">
        <v>15</v>
      </c>
      <c r="AC111">
        <v>15</v>
      </c>
      <c r="AT111">
        <v>15</v>
      </c>
      <c r="BU111">
        <v>119</v>
      </c>
      <c r="DP111" s="46">
        <v>80</v>
      </c>
      <c r="DQ111" s="46">
        <v>677</v>
      </c>
      <c r="DR111" s="46">
        <v>7380</v>
      </c>
      <c r="DS111" s="46">
        <v>462</v>
      </c>
      <c r="DT111" s="46">
        <v>12712</v>
      </c>
      <c r="DU111" s="46">
        <v>12466</v>
      </c>
      <c r="DV111" s="46"/>
    </row>
    <row r="112" spans="1:126" ht="15" customHeight="1">
      <c r="AQ112">
        <v>15</v>
      </c>
      <c r="AU112">
        <v>15</v>
      </c>
      <c r="DP112" s="46">
        <v>81</v>
      </c>
      <c r="DQ112" s="46">
        <v>711</v>
      </c>
      <c r="DR112" s="46">
        <v>7658</v>
      </c>
      <c r="DS112" s="46">
        <v>480</v>
      </c>
      <c r="DT112" s="46">
        <v>12863</v>
      </c>
      <c r="DU112" s="46">
        <v>13304</v>
      </c>
      <c r="DV112" s="46"/>
    </row>
    <row r="113" spans="28:126" ht="15" customHeight="1">
      <c r="AC113">
        <v>15</v>
      </c>
      <c r="DP113" s="46">
        <v>82</v>
      </c>
      <c r="DQ113" s="46">
        <v>746</v>
      </c>
      <c r="DR113" s="46">
        <v>7945</v>
      </c>
      <c r="DS113" s="46">
        <v>499</v>
      </c>
      <c r="DT113" s="46">
        <v>13006</v>
      </c>
      <c r="DU113" s="46">
        <v>14198</v>
      </c>
      <c r="DV113" s="46"/>
    </row>
    <row r="114" spans="28:126" ht="15" customHeight="1">
      <c r="DP114" s="46">
        <v>83</v>
      </c>
      <c r="DQ114" s="46">
        <v>783</v>
      </c>
      <c r="DR114" s="46">
        <v>8241</v>
      </c>
      <c r="DS114" s="46">
        <v>518</v>
      </c>
      <c r="DT114" s="46">
        <v>13132</v>
      </c>
      <c r="DU114" s="46">
        <v>15149</v>
      </c>
      <c r="DV114" s="46"/>
    </row>
    <row r="115" spans="28:126" ht="15" customHeight="1">
      <c r="DP115" s="46">
        <v>84</v>
      </c>
      <c r="DQ115" s="46">
        <v>822</v>
      </c>
      <c r="DR115" s="46">
        <v>8548</v>
      </c>
      <c r="DS115" s="46">
        <v>538</v>
      </c>
      <c r="DT115" s="46">
        <v>13250</v>
      </c>
      <c r="DU115" s="46">
        <v>16161</v>
      </c>
      <c r="DV115" s="46"/>
    </row>
    <row r="116" spans="28:126" ht="15" customHeight="1">
      <c r="AD116">
        <v>43</v>
      </c>
      <c r="AF116">
        <v>15</v>
      </c>
      <c r="BJ116">
        <v>15</v>
      </c>
      <c r="DP116" s="46">
        <v>85</v>
      </c>
      <c r="DQ116" s="46">
        <v>862</v>
      </c>
      <c r="DR116" s="46">
        <v>8864</v>
      </c>
      <c r="DS116" s="46">
        <v>559</v>
      </c>
      <c r="DT116" s="46">
        <v>13352</v>
      </c>
      <c r="DU116" s="46">
        <v>17240</v>
      </c>
      <c r="DV116" s="46"/>
    </row>
    <row r="117" spans="28:126" ht="15" customHeight="1">
      <c r="AK117">
        <v>43</v>
      </c>
      <c r="DP117" s="46">
        <v>86</v>
      </c>
      <c r="DQ117" s="46">
        <v>905</v>
      </c>
      <c r="DR117" s="46">
        <v>9191</v>
      </c>
      <c r="DS117" s="46">
        <v>580</v>
      </c>
      <c r="DT117" s="46">
        <v>13440</v>
      </c>
      <c r="DU117" s="46">
        <v>18388</v>
      </c>
      <c r="DV117" s="46"/>
    </row>
    <row r="118" spans="28:126" ht="15" customHeight="1">
      <c r="AB118">
        <v>15</v>
      </c>
      <c r="AH118">
        <v>15</v>
      </c>
      <c r="AK118">
        <v>15</v>
      </c>
      <c r="BO118">
        <v>43</v>
      </c>
      <c r="DP118" s="46">
        <v>87</v>
      </c>
      <c r="DQ118" s="46">
        <v>949</v>
      </c>
      <c r="DR118" s="46">
        <v>9529</v>
      </c>
      <c r="DS118" s="46">
        <v>603</v>
      </c>
      <c r="DT118" s="46">
        <v>13512</v>
      </c>
      <c r="DU118" s="46">
        <v>19610</v>
      </c>
      <c r="DV118" s="46"/>
    </row>
    <row r="119" spans="28:126" ht="15" customHeight="1">
      <c r="AS119">
        <v>84</v>
      </c>
      <c r="AZ119">
        <v>15</v>
      </c>
      <c r="DP119" s="46">
        <v>88</v>
      </c>
      <c r="DQ119" s="46">
        <v>996</v>
      </c>
      <c r="DR119" s="46">
        <v>9879</v>
      </c>
      <c r="DS119" s="46">
        <v>626</v>
      </c>
      <c r="DT119" s="46">
        <v>13569</v>
      </c>
      <c r="DU119" s="46">
        <v>20911</v>
      </c>
      <c r="DV119" s="46"/>
    </row>
    <row r="120" spans="28:126" ht="15" customHeight="1">
      <c r="AQ120">
        <v>15</v>
      </c>
      <c r="BQ120">
        <v>15</v>
      </c>
      <c r="DP120" s="46">
        <v>89</v>
      </c>
      <c r="DQ120" s="46">
        <v>1045</v>
      </c>
      <c r="DR120" s="46">
        <v>10239</v>
      </c>
      <c r="DS120" s="46">
        <v>650</v>
      </c>
      <c r="DT120" s="46">
        <v>13609</v>
      </c>
      <c r="DU120" s="46">
        <v>22296</v>
      </c>
      <c r="DV120" s="46"/>
    </row>
    <row r="121" spans="28:126" ht="15" customHeight="1">
      <c r="AD121">
        <v>15</v>
      </c>
      <c r="BD121">
        <v>43</v>
      </c>
      <c r="DP121" s="46">
        <v>90</v>
      </c>
      <c r="DQ121" s="46">
        <v>1096</v>
      </c>
      <c r="DR121" s="46">
        <v>10612</v>
      </c>
      <c r="DS121" s="46">
        <v>675</v>
      </c>
      <c r="DT121" s="46">
        <v>13633</v>
      </c>
      <c r="DU121" s="46">
        <v>23770</v>
      </c>
      <c r="DV121" s="46"/>
    </row>
    <row r="122" spans="28:126" ht="15" customHeight="1">
      <c r="DP122" s="46">
        <v>91</v>
      </c>
      <c r="DQ122" s="46">
        <v>1149</v>
      </c>
      <c r="DR122" s="46">
        <v>10997</v>
      </c>
      <c r="DS122" s="46">
        <v>701</v>
      </c>
      <c r="DT122" s="46">
        <v>13639</v>
      </c>
      <c r="DU122" s="46">
        <v>25338</v>
      </c>
      <c r="DV122" s="46"/>
    </row>
    <row r="123" spans="28:126" ht="15" customHeight="1">
      <c r="AI123">
        <v>15</v>
      </c>
      <c r="BA123">
        <v>15</v>
      </c>
      <c r="BT123">
        <v>43</v>
      </c>
      <c r="DP123" s="46">
        <v>92</v>
      </c>
      <c r="DQ123" s="46">
        <v>1205</v>
      </c>
      <c r="DR123" s="46">
        <v>11395</v>
      </c>
      <c r="DS123" s="46">
        <v>728</v>
      </c>
      <c r="DT123" s="46">
        <v>13627</v>
      </c>
      <c r="DU123" s="46">
        <v>27007</v>
      </c>
      <c r="DV123" s="46"/>
    </row>
    <row r="124" spans="28:126" ht="15" customHeight="1">
      <c r="AS124">
        <v>15</v>
      </c>
      <c r="AT124">
        <v>15</v>
      </c>
      <c r="BB124">
        <v>15</v>
      </c>
      <c r="BE124">
        <v>15</v>
      </c>
      <c r="DP124" s="46">
        <v>93</v>
      </c>
      <c r="DQ124" s="46">
        <v>1264</v>
      </c>
      <c r="DR124" s="46">
        <v>11806</v>
      </c>
      <c r="DS124" s="46">
        <v>755</v>
      </c>
      <c r="DT124" s="46">
        <v>13598</v>
      </c>
      <c r="DU124" s="46">
        <v>28784</v>
      </c>
      <c r="DV124" s="46"/>
    </row>
    <row r="125" spans="28:126" ht="15" customHeight="1">
      <c r="DP125" s="46">
        <v>94</v>
      </c>
      <c r="DQ125" s="46">
        <v>1325</v>
      </c>
      <c r="DR125" s="46">
        <v>12230</v>
      </c>
      <c r="DS125" s="46">
        <v>784</v>
      </c>
      <c r="DT125" s="46">
        <v>13549</v>
      </c>
      <c r="DU125" s="46">
        <v>30673</v>
      </c>
      <c r="DV125" s="46"/>
    </row>
    <row r="126" spans="28:126" ht="15" customHeight="1">
      <c r="BD126">
        <v>43</v>
      </c>
      <c r="BH126">
        <v>15</v>
      </c>
      <c r="BM126">
        <v>84</v>
      </c>
      <c r="DP126" s="46">
        <v>95</v>
      </c>
      <c r="DQ126" s="46">
        <v>1390</v>
      </c>
      <c r="DR126" s="46">
        <v>12668</v>
      </c>
      <c r="DS126" s="46">
        <v>814</v>
      </c>
      <c r="DT126" s="46">
        <v>13483</v>
      </c>
      <c r="DU126" s="46">
        <v>32684</v>
      </c>
      <c r="DV126" s="46"/>
    </row>
    <row r="127" spans="28:126" ht="15" customHeight="1">
      <c r="AD127">
        <v>15</v>
      </c>
      <c r="AH127">
        <v>43</v>
      </c>
      <c r="BI127">
        <v>43</v>
      </c>
      <c r="DP127" s="46">
        <v>96</v>
      </c>
      <c r="DQ127" s="46">
        <v>1457</v>
      </c>
      <c r="DR127" s="46">
        <v>13121</v>
      </c>
      <c r="DS127" s="46">
        <v>845</v>
      </c>
      <c r="DT127" s="46">
        <v>13396</v>
      </c>
      <c r="DU127" s="46">
        <v>34823</v>
      </c>
      <c r="DV127" s="46"/>
    </row>
    <row r="128" spans="28:126" ht="15" customHeight="1">
      <c r="AF128">
        <v>15</v>
      </c>
      <c r="DP128" s="46">
        <v>97</v>
      </c>
      <c r="DQ128" s="46">
        <v>1527</v>
      </c>
      <c r="DR128" s="46">
        <v>13588</v>
      </c>
      <c r="DS128" s="46">
        <v>877</v>
      </c>
      <c r="DT128" s="46">
        <v>13293</v>
      </c>
      <c r="DU128" s="46">
        <v>37098</v>
      </c>
      <c r="DV128" s="46"/>
    </row>
    <row r="129" spans="18:126" ht="15" customHeight="1">
      <c r="R129">
        <v>15</v>
      </c>
      <c r="U129">
        <v>43</v>
      </c>
      <c r="AG129">
        <v>15</v>
      </c>
      <c r="DP129" s="46">
        <v>98</v>
      </c>
      <c r="DQ129" s="46">
        <v>1601</v>
      </c>
      <c r="DR129" s="46">
        <v>14071</v>
      </c>
      <c r="DS129" s="46">
        <v>910</v>
      </c>
      <c r="DT129" s="46">
        <v>13170</v>
      </c>
      <c r="DU129" s="46">
        <v>39519</v>
      </c>
      <c r="DV129" s="46"/>
    </row>
    <row r="130" spans="18:126" ht="15" customHeight="1">
      <c r="AG130">
        <v>84</v>
      </c>
      <c r="AQ130">
        <v>15</v>
      </c>
      <c r="DP130" s="46">
        <v>99</v>
      </c>
      <c r="DQ130" s="46">
        <v>1678</v>
      </c>
      <c r="DR130" s="46">
        <v>14569</v>
      </c>
      <c r="DS130" s="46">
        <v>945</v>
      </c>
      <c r="DT130" s="46">
        <v>13029</v>
      </c>
      <c r="DU130" s="46">
        <v>42093</v>
      </c>
      <c r="DV130" s="46"/>
    </row>
    <row r="131" spans="18:126" ht="15" customHeight="1">
      <c r="BG131">
        <v>43</v>
      </c>
      <c r="DP131" s="46">
        <v>100</v>
      </c>
      <c r="DQ131" s="46">
        <v>1758</v>
      </c>
      <c r="DR131" s="46">
        <v>15084</v>
      </c>
      <c r="DS131" s="46">
        <v>980</v>
      </c>
      <c r="DT131" s="46">
        <v>12777</v>
      </c>
      <c r="DU131" s="46">
        <v>44831</v>
      </c>
      <c r="DV131" s="46"/>
    </row>
    <row r="132" spans="18:126" ht="15" customHeight="1">
      <c r="BE132">
        <v>43</v>
      </c>
      <c r="BJ132">
        <v>15</v>
      </c>
    </row>
    <row r="133" spans="18:126" ht="15" customHeight="1">
      <c r="AC133">
        <v>43</v>
      </c>
    </row>
    <row r="135" spans="18:126" ht="15" customHeight="1">
      <c r="AE135">
        <v>43</v>
      </c>
      <c r="AY135">
        <v>15</v>
      </c>
    </row>
    <row r="136" spans="18:126" ht="15" customHeight="1">
      <c r="Z136">
        <v>15</v>
      </c>
    </row>
    <row r="137" spans="18:126" ht="15" customHeight="1">
      <c r="W137">
        <v>15</v>
      </c>
      <c r="AP137">
        <v>15</v>
      </c>
    </row>
    <row r="140" spans="18:126" ht="15" customHeight="1">
      <c r="AG140">
        <v>15</v>
      </c>
      <c r="BA140">
        <v>15</v>
      </c>
    </row>
    <row r="141" spans="18:126" ht="15" customHeight="1">
      <c r="AA141">
        <v>84</v>
      </c>
    </row>
    <row r="143" spans="18:126" ht="15" customHeight="1">
      <c r="AA143">
        <v>43</v>
      </c>
      <c r="AV143">
        <v>15</v>
      </c>
    </row>
    <row r="145" spans="17:61" ht="15" customHeight="1">
      <c r="S145">
        <v>15</v>
      </c>
      <c r="BI145">
        <v>15</v>
      </c>
    </row>
    <row r="146" spans="17:61" ht="15" customHeight="1">
      <c r="AS146">
        <v>15</v>
      </c>
      <c r="AT146">
        <v>15</v>
      </c>
    </row>
    <row r="147" spans="17:61" ht="15" customHeight="1">
      <c r="AL147">
        <v>43</v>
      </c>
      <c r="BC147">
        <v>15</v>
      </c>
    </row>
    <row r="154" spans="17:61" ht="15" customHeight="1">
      <c r="Z154">
        <v>15</v>
      </c>
    </row>
    <row r="155" spans="17:61" ht="15" customHeight="1">
      <c r="Q155">
        <v>43</v>
      </c>
      <c r="R155">
        <v>84</v>
      </c>
      <c r="AL155">
        <v>15</v>
      </c>
    </row>
    <row r="156" spans="17:61" ht="15" customHeight="1">
      <c r="T156">
        <v>15</v>
      </c>
      <c r="AM156">
        <v>15</v>
      </c>
    </row>
    <row r="157" spans="17:61" ht="15" customHeight="1">
      <c r="S157">
        <v>15</v>
      </c>
      <c r="AK157">
        <v>43</v>
      </c>
    </row>
    <row r="158" spans="17:61" ht="15" customHeight="1">
      <c r="W158">
        <v>15</v>
      </c>
    </row>
    <row r="160" spans="17:61" ht="15" customHeight="1">
      <c r="AA160">
        <v>43</v>
      </c>
    </row>
    <row r="164" spans="65:65" ht="15" customHeight="1">
      <c r="BM164">
        <v>15</v>
      </c>
    </row>
    <row r="166" spans="65:65" ht="15" customHeight="1">
      <c r="BM166">
        <v>15</v>
      </c>
    </row>
  </sheetData>
  <mergeCells count="5">
    <mergeCell ref="DP30:DP31"/>
    <mergeCell ref="DQ30:DQ31"/>
    <mergeCell ref="DU30:DU31"/>
    <mergeCell ref="DX18:DZ18"/>
    <mergeCell ref="DU18:DW18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24</vt:i4>
      </vt:variant>
    </vt:vector>
  </HeadingPairs>
  <TitlesOfParts>
    <vt:vector size="28" baseType="lpstr">
      <vt:lpstr>Path of Excile</vt:lpstr>
      <vt:lpstr>character</vt:lpstr>
      <vt:lpstr>items</vt:lpstr>
      <vt:lpstr>map</vt:lpstr>
      <vt:lpstr>allKeys</vt:lpstr>
      <vt:lpstr>Inventory</vt:lpstr>
      <vt:lpstr>moveDown</vt:lpstr>
      <vt:lpstr>moveDownLeft</vt:lpstr>
      <vt:lpstr>moveDownRight</vt:lpstr>
      <vt:lpstr>moveLeft</vt:lpstr>
      <vt:lpstr>moveRight</vt:lpstr>
      <vt:lpstr>moveTop</vt:lpstr>
      <vt:lpstr>moveTopLeft</vt:lpstr>
      <vt:lpstr>moveTopRight</vt:lpstr>
      <vt:lpstr>posDown</vt:lpstr>
      <vt:lpstr>posLeft</vt:lpstr>
      <vt:lpstr>posPlayer</vt:lpstr>
      <vt:lpstr>posRight</vt:lpstr>
      <vt:lpstr>posTop</vt:lpstr>
      <vt:lpstr>slotAmulet</vt:lpstr>
      <vt:lpstr>slotBelt</vt:lpstr>
      <vt:lpstr>slotBody</vt:lpstr>
      <vt:lpstr>slotBoot</vt:lpstr>
      <vt:lpstr>slotGlove</vt:lpstr>
      <vt:lpstr>slotHand</vt:lpstr>
      <vt:lpstr>slotHead</vt:lpstr>
      <vt:lpstr>slotRing1</vt:lpstr>
      <vt:lpstr>slotRing2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satori</dc:creator>
  <cp:lastModifiedBy>satori</cp:lastModifiedBy>
  <dcterms:created xsi:type="dcterms:W3CDTF">2020-01-14T09:40:46Z</dcterms:created>
  <dcterms:modified xsi:type="dcterms:W3CDTF">2020-02-03T11:09:35Z</dcterms:modified>
</cp:coreProperties>
</file>