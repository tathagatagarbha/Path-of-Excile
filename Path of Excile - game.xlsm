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N12" i="3"/>
  <c r="M3" i="2"/>
  <c r="L4" s="1"/>
  <c r="R12" i="3"/>
  <c r="DQ20" i="4"/>
  <c r="DQ21" s="1"/>
  <c r="DW15"/>
  <c r="DW16" s="1"/>
  <c r="DW21" s="1"/>
  <c r="DV15"/>
  <c r="DV16" s="1"/>
  <c r="DU21" s="1"/>
  <c r="DU15"/>
  <c r="DU16" s="1"/>
  <c r="DV21" s="1"/>
  <c r="O12" i="3"/>
  <c r="P12"/>
  <c r="DZ20" i="4" l="1"/>
  <c r="D23" i="1"/>
  <c r="D20" i="2"/>
  <c r="DX20" i="4"/>
  <c r="DQ22"/>
  <c r="DY20"/>
  <c r="DU20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8" i="3"/>
  <c r="AN7"/>
  <c r="AN6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H17" i="2"/>
  <c r="M17" s="1"/>
  <c r="G29"/>
  <c r="M29" s="1"/>
  <c r="AL20" i="1"/>
  <c r="I9" i="2"/>
  <c r="J24"/>
  <c r="M24" s="1"/>
  <c r="J23"/>
  <c r="M23" s="1"/>
  <c r="N11"/>
  <c r="G6"/>
  <c r="M6" s="1"/>
  <c r="M7" s="1"/>
  <c r="N7" s="1"/>
  <c r="G19"/>
  <c r="M19" s="1"/>
  <c r="DP21" i="4"/>
  <c r="DS23"/>
  <c r="DS22"/>
  <c r="DQ23"/>
  <c r="DR23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R24"/>
  <c r="R27" s="1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<sst xmlns="http://schemas.openxmlformats.org/spreadsheetml/2006/main" count="382" uniqueCount="263">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</sst>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523">
        <f>character!M2</f>
        <v>0</v>
      </c>
      <c r="AJ2" s="523"/>
      <c r="AK2" s="523"/>
      <c r="AL2" s="523"/>
      <c r="AM2" s="523"/>
      <c r="AN2" s="523"/>
      <c r="AO2" s="523"/>
      <c r="AP2" s="523"/>
      <c r="AQ2" s="523"/>
      <c r="AR2" s="523"/>
      <c r="AS2" s="523"/>
      <c r="AT2" s="523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523"/>
      <c r="AJ3" s="523"/>
      <c r="AK3" s="523"/>
      <c r="AL3" s="523"/>
      <c r="AM3" s="523"/>
      <c r="AN3" s="523"/>
      <c r="AO3" s="523"/>
      <c r="AP3" s="523"/>
      <c r="AQ3" s="523"/>
      <c r="AR3" s="523"/>
      <c r="AS3" s="523"/>
      <c r="AT3" s="523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523"/>
      <c r="AJ4" s="523"/>
      <c r="AK4" s="523"/>
      <c r="AL4" s="523"/>
      <c r="AM4" s="523"/>
      <c r="AN4" s="523"/>
      <c r="AO4" s="523"/>
      <c r="AP4" s="523"/>
      <c r="AQ4" s="523"/>
      <c r="AR4" s="523"/>
      <c r="AS4" s="523"/>
      <c r="AT4" s="523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528"/>
      <c r="E7" s="528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8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528"/>
      <c r="O8" s="528"/>
      <c r="P8" s="528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524"/>
      <c r="Y9" s="529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524"/>
      <c r="T10" s="529"/>
      <c r="U10" s="12"/>
      <c r="V10" s="12"/>
      <c r="W10" s="12"/>
      <c r="X10" s="530"/>
      <c r="Y10" s="531"/>
      <c r="Z10" s="76"/>
      <c r="AA10" s="12"/>
      <c r="AB10" s="12"/>
      <c r="AC10" s="12"/>
      <c r="AD10" s="12"/>
      <c r="AE10" s="12"/>
      <c r="AF10" s="67"/>
      <c r="AG10" s="541" t="s">
        <v>92</v>
      </c>
      <c r="AH10" s="541"/>
      <c r="AI10" s="541"/>
      <c r="AJ10" s="541"/>
      <c r="AK10" s="67"/>
      <c r="AL10" s="544">
        <f>character!N5</f>
        <v>4</v>
      </c>
      <c r="AM10" s="544"/>
      <c r="AN10" s="545"/>
      <c r="AO10" s="70"/>
      <c r="AP10" s="71" t="s">
        <v>102</v>
      </c>
      <c r="AQ10" s="67"/>
      <c r="AR10" s="67"/>
      <c r="AS10" s="67"/>
      <c r="AT10" s="66"/>
      <c r="AU10" s="544">
        <f>character!M17</f>
        <v>0</v>
      </c>
      <c r="AV10" s="544"/>
      <c r="AW10" s="545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14"/>
      <c r="F11" s="514"/>
      <c r="G11" s="514"/>
      <c r="H11" s="514"/>
      <c r="I11" s="514"/>
      <c r="J11" s="515"/>
      <c r="K11" s="515"/>
      <c r="L11" s="515"/>
      <c r="M11" s="515"/>
      <c r="N11" s="515"/>
      <c r="O11" s="515"/>
      <c r="P11" s="29"/>
      <c r="Q11" s="13"/>
      <c r="R11" s="13"/>
      <c r="S11" s="526"/>
      <c r="T11" s="532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544">
        <f>character!M6</f>
        <v>28</v>
      </c>
      <c r="AM11" s="544"/>
      <c r="AN11" s="545"/>
      <c r="AO11" s="70"/>
      <c r="AP11" s="71" t="s">
        <v>103</v>
      </c>
      <c r="AQ11" s="67"/>
      <c r="AR11" s="67"/>
      <c r="AS11" s="67"/>
      <c r="AT11" s="66"/>
      <c r="AU11" s="544" t="str">
        <f>character!N18 &amp; "%"</f>
        <v>0%</v>
      </c>
      <c r="AV11" s="544"/>
      <c r="AW11" s="545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14"/>
      <c r="F12" s="514"/>
      <c r="G12" s="514"/>
      <c r="H12" s="514"/>
      <c r="I12" s="514"/>
      <c r="J12" s="515"/>
      <c r="K12" s="515"/>
      <c r="L12" s="515"/>
      <c r="M12" s="515"/>
      <c r="N12" s="515"/>
      <c r="O12" s="515"/>
      <c r="P12" s="29"/>
      <c r="Q12" s="13"/>
      <c r="R12" s="13"/>
      <c r="S12" s="526"/>
      <c r="T12" s="532"/>
      <c r="U12" s="14"/>
      <c r="V12" s="14"/>
      <c r="W12" s="14"/>
      <c r="X12" s="533"/>
      <c r="Y12" s="534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544" t="str">
        <f>character!N7 &amp; "%"</f>
        <v>89%</v>
      </c>
      <c r="AM12" s="544"/>
      <c r="AN12" s="545"/>
      <c r="AO12" s="70"/>
      <c r="AP12" s="71" t="s">
        <v>110</v>
      </c>
      <c r="AQ12" s="67"/>
      <c r="AR12" s="67"/>
      <c r="AS12" s="67"/>
      <c r="AT12" s="66"/>
      <c r="AU12" s="544">
        <f>character!M19</f>
        <v>66</v>
      </c>
      <c r="AV12" s="544"/>
      <c r="AW12" s="545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14"/>
      <c r="F13" s="514"/>
      <c r="G13" s="514"/>
      <c r="H13" s="514"/>
      <c r="I13" s="514"/>
      <c r="J13" s="515"/>
      <c r="K13" s="515"/>
      <c r="L13" s="515"/>
      <c r="M13" s="515"/>
      <c r="N13" s="515"/>
      <c r="O13" s="515"/>
      <c r="P13" s="29"/>
      <c r="Q13" s="13"/>
      <c r="R13" s="13"/>
      <c r="S13" s="530"/>
      <c r="T13" s="531"/>
      <c r="U13" s="14"/>
      <c r="V13" s="114"/>
      <c r="W13" s="21"/>
      <c r="X13" s="535"/>
      <c r="Y13" s="536"/>
      <c r="Z13" s="75"/>
      <c r="AA13" s="115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544" t="str">
        <f>character!M8 &amp; " - " &amp; character!N8</f>
        <v>2 - 8</v>
      </c>
      <c r="AM13" s="544"/>
      <c r="AN13" s="545"/>
      <c r="AO13" s="70"/>
      <c r="AP13" s="71" t="s">
        <v>104</v>
      </c>
      <c r="AQ13" s="67"/>
      <c r="AR13" s="67"/>
      <c r="AS13" s="67"/>
      <c r="AT13" s="66"/>
      <c r="AU13" s="544">
        <f>character!M20</f>
        <v>1</v>
      </c>
      <c r="AV13" s="544"/>
      <c r="AW13" s="545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546" t="s">
        <v>261</v>
      </c>
      <c r="B14" s="547"/>
      <c r="C14" s="547"/>
      <c r="D14" s="30"/>
      <c r="E14" s="514"/>
      <c r="F14" s="514"/>
      <c r="G14" s="514"/>
      <c r="H14" s="514"/>
      <c r="I14" s="514"/>
      <c r="J14" s="515"/>
      <c r="K14" s="515"/>
      <c r="L14" s="515"/>
      <c r="M14" s="515"/>
      <c r="N14" s="515"/>
      <c r="O14" s="515"/>
      <c r="P14" s="29"/>
      <c r="Q14" s="13"/>
      <c r="R14" s="13"/>
      <c r="S14" s="13"/>
      <c r="T14" s="14"/>
      <c r="U14" s="14"/>
      <c r="V14" s="22"/>
      <c r="W14" s="13"/>
      <c r="X14" s="537"/>
      <c r="Y14" s="538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544" t="str">
        <f>character!M9 &amp; " - " &amp; character!N9</f>
        <v>2 - 8</v>
      </c>
      <c r="AM14" s="544"/>
      <c r="AN14" s="545"/>
      <c r="AO14" s="70"/>
      <c r="AP14" s="71" t="s">
        <v>109</v>
      </c>
      <c r="AQ14" s="67"/>
      <c r="AR14" s="67"/>
      <c r="AS14" s="67"/>
      <c r="AT14" s="66"/>
      <c r="AU14" s="544">
        <f>character!M21</f>
        <v>0</v>
      </c>
      <c r="AV14" s="544"/>
      <c r="AW14" s="545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547"/>
      <c r="B15" s="547"/>
      <c r="C15" s="547"/>
      <c r="D15" s="30"/>
      <c r="E15" s="514"/>
      <c r="F15" s="514"/>
      <c r="G15" s="514"/>
      <c r="H15" s="514"/>
      <c r="I15" s="514"/>
      <c r="J15" s="516"/>
      <c r="K15" s="515"/>
      <c r="L15" s="515"/>
      <c r="M15" s="515"/>
      <c r="N15" s="515"/>
      <c r="O15" s="515"/>
      <c r="P15" s="29"/>
      <c r="Q15" s="13"/>
      <c r="R15" s="13"/>
      <c r="S15" s="13"/>
      <c r="T15" s="14"/>
      <c r="U15" s="533"/>
      <c r="V15" s="534"/>
      <c r="W15" s="14"/>
      <c r="X15" s="22"/>
      <c r="Y15" s="22"/>
      <c r="Z15" s="12"/>
      <c r="AA15" s="524"/>
      <c r="AB15" s="525"/>
      <c r="AC15" s="75"/>
      <c r="AD15" s="12"/>
      <c r="AE15" s="12"/>
      <c r="AF15" s="67"/>
      <c r="AG15" s="541" t="s">
        <v>97</v>
      </c>
      <c r="AH15" s="541"/>
      <c r="AI15" s="541"/>
      <c r="AJ15" s="541"/>
      <c r="AK15" s="67"/>
      <c r="AL15" s="544" t="str">
        <f>character!M10 &amp; " - " &amp; character!N10</f>
        <v>0 - 0</v>
      </c>
      <c r="AM15" s="544"/>
      <c r="AN15" s="545"/>
      <c r="AO15" s="70"/>
      <c r="AP15" s="541" t="s">
        <v>105</v>
      </c>
      <c r="AQ15" s="541"/>
      <c r="AR15" s="541"/>
      <c r="AS15" s="541"/>
      <c r="AT15" s="66"/>
      <c r="AU15" s="544" t="str">
        <f>IF(character!M22&gt;character!M25,character!M25 &amp; "% (" &amp; character!M22 &amp; "%)",character!M22 &amp; "%")</f>
        <v>0%</v>
      </c>
      <c r="AV15" s="544"/>
      <c r="AW15" s="545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548"/>
      <c r="B16" s="548"/>
      <c r="C16" s="548"/>
      <c r="D16" s="30"/>
      <c r="E16" s="514"/>
      <c r="F16" s="514"/>
      <c r="G16" s="514"/>
      <c r="H16" s="514"/>
      <c r="I16" s="514"/>
      <c r="J16" s="516"/>
      <c r="K16" s="515"/>
      <c r="L16" s="515"/>
      <c r="M16" s="515"/>
      <c r="N16" s="515"/>
      <c r="O16" s="515"/>
      <c r="P16" s="29"/>
      <c r="Q16" s="13"/>
      <c r="R16" s="13"/>
      <c r="S16" s="13"/>
      <c r="T16" s="14"/>
      <c r="U16" s="535"/>
      <c r="V16" s="536"/>
      <c r="W16" s="13"/>
      <c r="X16" s="539"/>
      <c r="Y16" s="540"/>
      <c r="Z16" s="19"/>
      <c r="AA16" s="526"/>
      <c r="AB16" s="527"/>
      <c r="AC16" s="75"/>
      <c r="AD16" s="12"/>
      <c r="AE16" s="12"/>
      <c r="AF16" s="67"/>
      <c r="AG16" s="541" t="s">
        <v>98</v>
      </c>
      <c r="AH16" s="541"/>
      <c r="AI16" s="541"/>
      <c r="AJ16" s="541"/>
      <c r="AK16" s="67"/>
      <c r="AL16" s="544" t="str">
        <f>character!M11 &amp; " - " &amp; character!N11</f>
        <v>0 - 0</v>
      </c>
      <c r="AM16" s="544"/>
      <c r="AN16" s="545"/>
      <c r="AO16" s="70"/>
      <c r="AP16" s="541" t="s">
        <v>106</v>
      </c>
      <c r="AQ16" s="541"/>
      <c r="AR16" s="541"/>
      <c r="AS16" s="541"/>
      <c r="AT16" s="66"/>
      <c r="AU16" s="544" t="str">
        <f>IF(character!M23&gt;character!M26,character!M26 &amp; "% (" &amp; character!M23 &amp; "%)",character!M23 &amp; "%")</f>
        <v>0%</v>
      </c>
      <c r="AV16" s="544"/>
      <c r="AW16" s="545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548"/>
      <c r="B17" s="548"/>
      <c r="C17" s="548"/>
      <c r="D17" s="30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541" t="s">
        <v>99</v>
      </c>
      <c r="AH17" s="541"/>
      <c r="AI17" s="541"/>
      <c r="AJ17" s="541"/>
      <c r="AK17" s="67"/>
      <c r="AL17" s="544" t="str">
        <f>character!M12 &amp; " - " &amp; character!N12</f>
        <v>0 - 0</v>
      </c>
      <c r="AM17" s="544"/>
      <c r="AN17" s="545"/>
      <c r="AO17" s="70"/>
      <c r="AP17" s="541" t="s">
        <v>107</v>
      </c>
      <c r="AQ17" s="541"/>
      <c r="AR17" s="541"/>
      <c r="AS17" s="541"/>
      <c r="AT17" s="66"/>
      <c r="AU17" s="544" t="str">
        <f>IF(character!M24&gt;character!M27,character!M27 &amp; "% (" &amp; character!M24 &amp; "%)",character!M24 &amp; "%")</f>
        <v>0%</v>
      </c>
      <c r="AV17" s="544"/>
      <c r="AW17" s="545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29"/>
      <c r="Q18" s="13"/>
      <c r="R18" s="13"/>
      <c r="S18" s="103"/>
      <c r="T18" s="104"/>
      <c r="U18" s="104"/>
      <c r="V18" s="104"/>
      <c r="W18" s="109"/>
      <c r="X18" s="109"/>
      <c r="Y18" s="109"/>
      <c r="Z18" s="109"/>
      <c r="AA18" s="104"/>
      <c r="AB18" s="97"/>
      <c r="AC18" s="104"/>
      <c r="AD18" s="98"/>
      <c r="AE18" s="24"/>
      <c r="AF18" s="67"/>
      <c r="AG18" s="71" t="s">
        <v>100</v>
      </c>
      <c r="AH18" s="67"/>
      <c r="AI18" s="67"/>
      <c r="AJ18" s="67"/>
      <c r="AK18" s="67"/>
      <c r="AL18" s="544" t="str">
        <f>character!M13 &amp; "%"</f>
        <v>10%</v>
      </c>
      <c r="AM18" s="544"/>
      <c r="AN18" s="545"/>
      <c r="AO18" s="70"/>
      <c r="AP18" s="541" t="s">
        <v>108</v>
      </c>
      <c r="AQ18" s="541"/>
      <c r="AR18" s="541"/>
      <c r="AS18" s="541"/>
      <c r="AT18" s="541"/>
      <c r="AU18" s="544" t="str">
        <f>"+" &amp; character!M28 &amp; "%"</f>
        <v>+0%</v>
      </c>
      <c r="AV18" s="544"/>
      <c r="AW18" s="545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29"/>
      <c r="Q19" s="13"/>
      <c r="R19" s="13"/>
      <c r="S19" s="105"/>
      <c r="T19" s="106"/>
      <c r="U19" s="106"/>
      <c r="V19" s="106"/>
      <c r="W19" s="107"/>
      <c r="X19" s="107"/>
      <c r="Y19" s="107"/>
      <c r="Z19" s="107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544" t="str">
        <f>character!M14 &amp; "%"</f>
        <v>150%</v>
      </c>
      <c r="AM19" s="544"/>
      <c r="AN19" s="545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29"/>
      <c r="Q20" s="13"/>
      <c r="R20" s="13"/>
      <c r="S20" s="105"/>
      <c r="T20" s="106"/>
      <c r="U20" s="106"/>
      <c r="V20" s="106"/>
      <c r="W20" s="107"/>
      <c r="X20" s="107"/>
      <c r="Y20" s="107"/>
      <c r="Z20" s="107"/>
      <c r="AA20" s="99"/>
      <c r="AB20" s="99"/>
      <c r="AC20" s="107"/>
      <c r="AD20" s="111"/>
      <c r="AE20" s="12"/>
      <c r="AF20" s="67"/>
      <c r="AG20" s="541" t="s">
        <v>152</v>
      </c>
      <c r="AH20" s="541"/>
      <c r="AI20" s="67"/>
      <c r="AJ20" s="67"/>
      <c r="AK20" s="67"/>
      <c r="AL20" s="544">
        <f>character!M15</f>
        <v>32</v>
      </c>
      <c r="AM20" s="544"/>
      <c r="AN20" s="545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29"/>
      <c r="Q21" s="13"/>
      <c r="R21" s="13"/>
      <c r="S21" s="105"/>
      <c r="T21" s="106"/>
      <c r="U21" s="106"/>
      <c r="V21" s="106"/>
      <c r="W21" s="107"/>
      <c r="X21" s="107"/>
      <c r="Y21" s="107"/>
      <c r="Z21" s="107"/>
      <c r="AA21" s="106"/>
      <c r="AB21" s="99"/>
      <c r="AC21" s="107"/>
      <c r="AD21" s="111"/>
      <c r="AE21" s="24"/>
      <c r="AF21" s="67"/>
      <c r="AG21" s="541" t="s">
        <v>153</v>
      </c>
      <c r="AH21" s="541"/>
      <c r="AI21" s="67"/>
      <c r="AJ21" s="67"/>
      <c r="AK21" s="67"/>
      <c r="AL21" s="544">
        <f>character!M16</f>
        <v>14</v>
      </c>
      <c r="AM21" s="544"/>
      <c r="AN21" s="545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12"/>
      <c r="T22" s="108"/>
      <c r="U22" s="110"/>
      <c r="V22" s="110"/>
      <c r="W22" s="101"/>
      <c r="X22" s="101"/>
      <c r="Y22" s="108"/>
      <c r="Z22" s="108"/>
      <c r="AA22" s="101"/>
      <c r="AB22" s="101"/>
      <c r="AC22" s="108"/>
      <c r="AD22" s="113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542" t="str">
        <f>"Level:  " &amp; character!M3 &amp; "        Experience    " &amp; character!J4 &amp; " / " &amp; character!L4</f>
        <v>Level:  1        Experience    0 / 525</v>
      </c>
      <c r="E23" s="542"/>
      <c r="F23" s="542"/>
      <c r="G23" s="542"/>
      <c r="H23" s="542"/>
      <c r="I23" s="542"/>
      <c r="J23" s="542"/>
      <c r="K23" s="542"/>
      <c r="L23" s="542"/>
      <c r="M23" s="542"/>
      <c r="N23" s="542"/>
      <c r="O23" s="542"/>
      <c r="P23" s="542"/>
      <c r="Q23" s="12"/>
      <c r="R23" s="12"/>
      <c r="S23" s="543" t="str">
        <f>"Life    " &amp; character!J19 &amp; " / " &amp; character!M19</f>
        <v>Life    66 / 66</v>
      </c>
      <c r="T23" s="543"/>
      <c r="U23" s="543"/>
      <c r="V23" s="543"/>
      <c r="W23" s="543"/>
      <c r="X23" s="543"/>
      <c r="Y23" s="543"/>
      <c r="Z23" s="543"/>
      <c r="AA23" s="543"/>
      <c r="AB23" s="543"/>
      <c r="AC23" s="543"/>
      <c r="AD23" s="543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517">
        <f>character!J4</f>
        <v>0</v>
      </c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9"/>
      <c r="Q24" s="12"/>
      <c r="R24" s="12"/>
      <c r="S24" s="520">
        <f>character!J19</f>
        <v>66</v>
      </c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AG10:AJ10"/>
    <mergeCell ref="AG17:AJ17"/>
    <mergeCell ref="A14:C15"/>
    <mergeCell ref="A16:C16"/>
    <mergeCell ref="A17:C17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L10:AN10"/>
    <mergeCell ref="AL11:AN11"/>
    <mergeCell ref="AU10:AW10"/>
    <mergeCell ref="AU11:AW11"/>
    <mergeCell ref="AU12:AW12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L32" sqref="L32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5</v>
      </c>
      <c r="P17" s="51">
        <f>INT((10*map!$DQ$21^2)/($M$17+10*map!$DQ$21))</f>
        <v>6</v>
      </c>
      <c r="Q17" s="51">
        <f>INT((10*map!$DQ$22^2)/($M$17+10*map!$DQ$22))</f>
        <v>7</v>
      </c>
      <c r="R17" s="51">
        <f>INT((10*map!$DQ$23^2)/($M$17+10*map!$DQ$23))</f>
        <v>8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0</v>
      </c>
      <c r="P24" s="51">
        <f>INT((map!$DQ$21*(map!$DZ$20/100))*(1-$N$24/100))</f>
        <v>0</v>
      </c>
      <c r="Q24" s="51">
        <f>INT((map!$DQ$22*(map!$DZ$20/100))*(1-$N$24/100))</f>
        <v>0</v>
      </c>
      <c r="R24" s="51">
        <f>INT((map!$DQ$23*(map!$DZ$20/100))*(1-$N$24/100))</f>
        <v>0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5</v>
      </c>
      <c r="P27" s="56">
        <f>P17+P22+P23+P24</f>
        <v>6</v>
      </c>
      <c r="Q27" s="56">
        <f>Q17+Q22+Q23+Q24</f>
        <v>7</v>
      </c>
      <c r="R27" s="56">
        <f>R17+R22+R23+R24</f>
        <v>8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11" sqref="A11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INT((AA8+AL8)*(AB8/100+1))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I6" sqref="DI6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35"/>
      <c r="L11" s="117"/>
      <c r="M11" s="117"/>
      <c r="N11" s="163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171"/>
      <c r="AN11" s="5"/>
      <c r="AO11" s="5"/>
      <c r="AP11" s="5"/>
      <c r="AQ11" s="5"/>
      <c r="AR11" s="5"/>
      <c r="AS11" s="5"/>
      <c r="AT11" s="9" t="s">
        <v>87</v>
      </c>
      <c r="AU11" s="5"/>
      <c r="AV11" s="172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17"/>
      <c r="L12" s="117"/>
      <c r="M12" s="117"/>
      <c r="N12" s="159"/>
      <c r="O12" s="5"/>
      <c r="P12" s="173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74"/>
      <c r="AK12" s="5"/>
      <c r="AL12" s="5"/>
      <c r="AM12" s="5"/>
      <c r="AN12" s="5"/>
      <c r="AO12" s="5"/>
      <c r="AP12" s="175"/>
      <c r="AQ12" s="9" t="s">
        <v>87</v>
      </c>
      <c r="AR12" s="5"/>
      <c r="AS12" s="5"/>
      <c r="AT12" s="5"/>
      <c r="AU12" s="9" t="s">
        <v>87</v>
      </c>
      <c r="AV12" s="5"/>
      <c r="AW12" s="176"/>
      <c r="AX12" s="177"/>
      <c r="AY12" s="5"/>
      <c r="AZ12" s="178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59"/>
      <c r="L13" s="136"/>
      <c r="M13" s="123"/>
      <c r="N13" s="135"/>
      <c r="O13" s="126"/>
      <c r="P13" s="137"/>
      <c r="Q13" s="143"/>
      <c r="R13" s="5"/>
      <c r="S13" s="5"/>
      <c r="T13" s="5"/>
      <c r="U13" s="5"/>
      <c r="V13" s="5"/>
      <c r="W13" s="5"/>
      <c r="X13" s="5"/>
      <c r="Y13" s="5"/>
      <c r="Z13" s="5"/>
      <c r="AA13" s="5"/>
      <c r="AB13" s="179"/>
      <c r="AC13" s="9" t="s">
        <v>87</v>
      </c>
      <c r="AD13" s="5"/>
      <c r="AE13" s="5"/>
      <c r="AF13" s="5"/>
      <c r="AG13" s="5"/>
      <c r="AH13" s="5"/>
      <c r="AI13" s="5"/>
      <c r="AJ13" s="5"/>
      <c r="AK13" s="180"/>
      <c r="AL13" s="181"/>
      <c r="AM13" s="182"/>
      <c r="AN13" s="183"/>
      <c r="AO13" s="5"/>
      <c r="AP13" s="5"/>
      <c r="AQ13" s="184"/>
      <c r="AR13" s="5"/>
      <c r="AS13" s="5"/>
      <c r="AT13" s="5"/>
      <c r="AU13" s="5"/>
      <c r="AV13" s="5"/>
      <c r="AW13" s="185"/>
      <c r="AX13" s="186"/>
      <c r="AY13" s="5"/>
      <c r="AZ13" s="187"/>
      <c r="BA13" s="5"/>
      <c r="BB13" s="5"/>
      <c r="BC13" s="5"/>
      <c r="BD13" s="5"/>
      <c r="BE13" s="5"/>
      <c r="BF13" s="5"/>
      <c r="BG13" s="5"/>
      <c r="BH13" s="188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23"/>
      <c r="N14" s="117"/>
      <c r="O14" s="117"/>
      <c r="P14" s="117"/>
      <c r="Q14" s="130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89"/>
      <c r="AD14" s="190"/>
      <c r="AE14" s="5"/>
      <c r="AF14" s="191"/>
      <c r="AG14" s="5"/>
      <c r="AH14" s="5"/>
      <c r="AI14" s="5"/>
      <c r="AJ14" s="5"/>
      <c r="AK14" s="5"/>
      <c r="AL14" s="5"/>
      <c r="AM14" s="5"/>
      <c r="AN14" s="192"/>
      <c r="AO14" s="193"/>
      <c r="AP14" s="194"/>
      <c r="AQ14" s="5"/>
      <c r="AR14" s="5"/>
      <c r="AS14" s="5"/>
      <c r="AT14" s="5"/>
      <c r="AU14" s="5"/>
      <c r="AV14" s="5"/>
      <c r="AW14" s="5"/>
      <c r="AX14" s="195"/>
      <c r="AY14" s="5"/>
      <c r="AZ14" s="5"/>
      <c r="BA14" s="196"/>
      <c r="BB14" s="5"/>
      <c r="BC14" s="5"/>
      <c r="BD14" s="5"/>
      <c r="BE14" s="5"/>
      <c r="BF14" s="5"/>
      <c r="BG14" s="5"/>
      <c r="BH14" s="5"/>
      <c r="BI14" s="197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44"/>
      <c r="N15" s="117"/>
      <c r="O15" s="117"/>
      <c r="P15" s="117"/>
      <c r="Q15" s="131"/>
      <c r="R15" s="137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198"/>
      <c r="AE15" s="5"/>
      <c r="AF15" s="5"/>
      <c r="AG15" s="5"/>
      <c r="AH15" s="5"/>
      <c r="AI15" s="5"/>
      <c r="AJ15" s="5"/>
      <c r="AK15" s="5"/>
      <c r="AL15" s="199"/>
      <c r="AM15" s="5"/>
      <c r="AN15" s="200"/>
      <c r="AO15" s="201"/>
      <c r="AP15" s="202"/>
      <c r="AQ15" s="5"/>
      <c r="AR15" s="203"/>
      <c r="AS15" s="204"/>
      <c r="AT15" s="205"/>
      <c r="AU15" s="5"/>
      <c r="AV15" s="5"/>
      <c r="AW15" s="5"/>
      <c r="AX15" s="5"/>
      <c r="AY15" s="5"/>
      <c r="AZ15" s="206"/>
      <c r="BA15" s="5"/>
      <c r="BB15" s="207"/>
      <c r="BC15" s="208"/>
      <c r="BD15" s="209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51"/>
      <c r="N16" s="166"/>
      <c r="O16" s="156"/>
      <c r="P16" s="117"/>
      <c r="Q16" s="117"/>
      <c r="R16" s="128"/>
      <c r="S16" s="5"/>
      <c r="T16" s="210"/>
      <c r="U16" s="5"/>
      <c r="V16" s="5"/>
      <c r="W16" s="5"/>
      <c r="X16" s="5"/>
      <c r="Y16" s="5"/>
      <c r="Z16" s="5"/>
      <c r="AA16" s="211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12"/>
      <c r="AN16" s="213"/>
      <c r="AO16" s="214"/>
      <c r="AP16" s="5"/>
      <c r="AQ16" s="5"/>
      <c r="AR16" s="5"/>
      <c r="AS16" s="5"/>
      <c r="AT16" s="215"/>
      <c r="AU16" s="5"/>
      <c r="AV16" s="5"/>
      <c r="AW16" s="5"/>
      <c r="AX16" s="216"/>
      <c r="AY16" s="5"/>
      <c r="AZ16" s="5"/>
      <c r="BA16" s="5"/>
      <c r="BB16" s="5"/>
      <c r="BC16" s="217"/>
      <c r="BD16" s="5"/>
      <c r="BE16" s="218"/>
      <c r="BF16" s="219"/>
      <c r="BG16" s="5"/>
      <c r="BH16" s="5"/>
      <c r="BI16" s="220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52"/>
      <c r="P17" s="117"/>
      <c r="Q17" s="117"/>
      <c r="R17" s="138"/>
      <c r="S17" s="132"/>
      <c r="T17" s="5"/>
      <c r="U17" s="5"/>
      <c r="V17" s="5"/>
      <c r="W17" s="5"/>
      <c r="X17" s="221"/>
      <c r="Y17" s="5"/>
      <c r="Z17" s="5"/>
      <c r="AA17" s="5"/>
      <c r="AB17" s="5"/>
      <c r="AC17" s="222"/>
      <c r="AD17" s="223"/>
      <c r="AE17" s="5"/>
      <c r="AF17" s="224"/>
      <c r="AG17" s="225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26"/>
      <c r="AT17" s="227"/>
      <c r="AU17" s="5"/>
      <c r="AV17" s="5"/>
      <c r="AW17" s="5"/>
      <c r="AX17" s="5"/>
      <c r="AY17" s="228"/>
      <c r="AZ17" s="5"/>
      <c r="BA17" s="5"/>
      <c r="BB17" s="5"/>
      <c r="BC17" s="5"/>
      <c r="BD17" s="229"/>
      <c r="BE17" s="230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62"/>
      <c r="P18" s="128"/>
      <c r="Q18" s="117"/>
      <c r="R18" s="117"/>
      <c r="S18" s="145"/>
      <c r="T18" s="5"/>
      <c r="U18" s="231"/>
      <c r="V18" s="5"/>
      <c r="W18" s="5"/>
      <c r="X18" s="5"/>
      <c r="Y18" s="5"/>
      <c r="Z18" s="5"/>
      <c r="AA18" s="5"/>
      <c r="AB18" s="9" t="s">
        <v>87</v>
      </c>
      <c r="AC18" s="232"/>
      <c r="AD18" s="233"/>
      <c r="AE18" s="234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35"/>
      <c r="AR18" s="5"/>
      <c r="AS18" s="5"/>
      <c r="AT18" s="5"/>
      <c r="AU18" s="5"/>
      <c r="AV18" s="236"/>
      <c r="AW18" s="5"/>
      <c r="AX18" s="5"/>
      <c r="AY18" s="5"/>
      <c r="AZ18" s="5"/>
      <c r="BA18" s="5"/>
      <c r="BB18" s="5"/>
      <c r="BC18" s="237"/>
      <c r="BD18" s="5"/>
      <c r="BE18" s="5"/>
      <c r="BF18" s="238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550" t="s">
        <v>254</v>
      </c>
      <c r="DV18" s="550"/>
      <c r="DW18" s="550"/>
      <c r="DX18" s="550" t="s">
        <v>255</v>
      </c>
      <c r="DY18" s="550"/>
      <c r="DZ18" s="550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39"/>
      <c r="L19" s="5"/>
      <c r="M19" s="5"/>
      <c r="N19" s="5"/>
      <c r="O19" s="240"/>
      <c r="P19" s="166"/>
      <c r="Q19" s="130"/>
      <c r="R19" s="159"/>
      <c r="S19" s="130"/>
      <c r="T19" s="5"/>
      <c r="U19" s="5"/>
      <c r="V19" s="5"/>
      <c r="W19" s="241"/>
      <c r="X19" s="5"/>
      <c r="Y19" s="5"/>
      <c r="Z19" s="5"/>
      <c r="AA19" s="5"/>
      <c r="AB19" s="5"/>
      <c r="AC19" s="242"/>
      <c r="AD19" s="5"/>
      <c r="AE19" s="243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44"/>
      <c r="AS19" s="94" t="s">
        <v>87</v>
      </c>
      <c r="AT19" s="245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46"/>
      <c r="M20" s="247"/>
      <c r="N20" s="248"/>
      <c r="O20" s="5"/>
      <c r="P20" s="249"/>
      <c r="Q20" s="250"/>
      <c r="R20" s="150"/>
      <c r="S20" s="128"/>
      <c r="T20" s="152"/>
      <c r="U20" s="139"/>
      <c r="V20" s="5"/>
      <c r="W20" s="5"/>
      <c r="X20" s="251"/>
      <c r="Y20" s="5"/>
      <c r="Z20" s="5"/>
      <c r="AA20" s="5"/>
      <c r="AB20" s="252"/>
      <c r="AC20" s="5"/>
      <c r="AD20" s="5"/>
      <c r="AE20" s="253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54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55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</f>
        <v>5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</f>
        <v>0</v>
      </c>
      <c r="DY20" s="59">
        <f>$DP$14*$DV$16</f>
        <v>0</v>
      </c>
      <c r="DZ20" s="59">
        <f>$DP$14*$DU$16</f>
        <v>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56"/>
      <c r="P21" s="257"/>
      <c r="Q21" s="160"/>
      <c r="R21" s="141"/>
      <c r="S21" s="117"/>
      <c r="T21" s="149"/>
      <c r="U21" s="118"/>
      <c r="V21" s="258"/>
      <c r="W21" s="5"/>
      <c r="X21" s="5"/>
      <c r="Y21" s="5"/>
      <c r="Z21" s="5"/>
      <c r="AA21" s="5"/>
      <c r="AB21" s="259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60"/>
      <c r="AY21" s="261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62"/>
      <c r="BO21" s="5"/>
      <c r="BP21" s="263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</f>
        <v>6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64"/>
      <c r="M22" s="5"/>
      <c r="N22" s="265"/>
      <c r="O22" s="5"/>
      <c r="P22" s="266"/>
      <c r="Q22" s="124"/>
      <c r="R22" s="117"/>
      <c r="S22" s="156"/>
      <c r="T22" s="143"/>
      <c r="U22" s="5"/>
      <c r="V22" s="5"/>
      <c r="W22" s="127"/>
      <c r="X22" s="149"/>
      <c r="Y22" s="149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67"/>
      <c r="AZ22" s="268"/>
      <c r="BA22" s="5"/>
      <c r="BB22" s="5"/>
      <c r="BC22" s="5"/>
      <c r="BD22" s="5"/>
      <c r="BE22" s="5"/>
      <c r="BF22" s="5"/>
      <c r="BG22" s="5"/>
      <c r="BH22" s="5"/>
      <c r="BI22" s="5"/>
      <c r="BJ22" s="269"/>
      <c r="BK22" s="5"/>
      <c r="BL22" s="5"/>
      <c r="BM22" s="5"/>
      <c r="BN22" s="270"/>
      <c r="BO22" s="271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</f>
        <v>7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272"/>
      <c r="M23" s="273"/>
      <c r="N23" s="274"/>
      <c r="O23" s="5"/>
      <c r="P23" s="5"/>
      <c r="Q23" s="143"/>
      <c r="R23" s="141"/>
      <c r="S23" s="119"/>
      <c r="T23" s="5"/>
      <c r="U23" s="5"/>
      <c r="V23" s="5"/>
      <c r="W23" s="124"/>
      <c r="X23" s="117"/>
      <c r="Y23" s="130"/>
      <c r="Z23" s="5"/>
      <c r="AA23" s="5"/>
      <c r="AB23" s="5"/>
      <c r="AC23" s="275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28"/>
      <c r="AP23" s="163"/>
      <c r="AQ23" s="5"/>
      <c r="AR23" s="5"/>
      <c r="AS23" s="276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</f>
        <v>8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58"/>
      <c r="Q24" s="149"/>
      <c r="R24" s="131"/>
      <c r="S24" s="5"/>
      <c r="T24" s="143"/>
      <c r="U24" s="142"/>
      <c r="V24" s="277"/>
      <c r="W24" s="120"/>
      <c r="X24" s="117"/>
      <c r="Y24" s="133"/>
      <c r="Z24" s="12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31"/>
      <c r="AP24" s="145"/>
      <c r="AQ24" s="137"/>
      <c r="AR24" s="5"/>
      <c r="AS24" s="9" t="s">
        <v>87</v>
      </c>
      <c r="AT24" s="9" t="s">
        <v>87</v>
      </c>
      <c r="AU24" s="278"/>
      <c r="AV24" s="279"/>
      <c r="AW24" s="280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281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38"/>
      <c r="P25" s="159"/>
      <c r="Q25" s="117"/>
      <c r="R25" s="129"/>
      <c r="S25" s="159"/>
      <c r="T25" s="149"/>
      <c r="U25" s="129"/>
      <c r="V25" s="5"/>
      <c r="W25" s="158"/>
      <c r="X25" s="117"/>
      <c r="Y25" s="117"/>
      <c r="Z25" s="136"/>
      <c r="AA25" s="122"/>
      <c r="AB25" s="123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63"/>
      <c r="AP25" s="117"/>
      <c r="AQ25" s="123"/>
      <c r="AR25" s="156"/>
      <c r="AS25" s="5"/>
      <c r="AT25" s="282"/>
      <c r="AU25" s="283"/>
      <c r="AV25" s="284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285"/>
      <c r="BN25" s="5"/>
      <c r="BO25" s="5"/>
      <c r="BP25" s="5"/>
      <c r="BQ25" s="286"/>
      <c r="BR25" s="287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59"/>
      <c r="P26" s="132"/>
      <c r="Q26" s="117"/>
      <c r="R26" s="117"/>
      <c r="S26" s="117"/>
      <c r="T26" s="117"/>
      <c r="U26" s="164"/>
      <c r="V26" s="150"/>
      <c r="W26" s="159"/>
      <c r="X26" s="117"/>
      <c r="Y26" s="117"/>
      <c r="Z26" s="117"/>
      <c r="AA26" s="129"/>
      <c r="AB26" s="13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50"/>
      <c r="AO26" s="163"/>
      <c r="AP26" s="117"/>
      <c r="AQ26" s="117"/>
      <c r="AR26" s="155"/>
      <c r="AS26" s="5"/>
      <c r="AT26" s="288"/>
      <c r="AU26" s="289"/>
      <c r="AV26" s="290"/>
      <c r="AW26" s="291"/>
      <c r="AX26" s="5"/>
      <c r="AY26" s="5"/>
      <c r="AZ26" s="5"/>
      <c r="BA26" s="5"/>
      <c r="BB26" s="5"/>
      <c r="BC26" s="5"/>
      <c r="BD26" s="8" t="s">
        <v>87</v>
      </c>
      <c r="BE26" s="5"/>
      <c r="BF26" s="156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292"/>
      <c r="BP26" s="293"/>
      <c r="BQ26" s="294"/>
      <c r="BR26" s="295"/>
      <c r="BS26" s="296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297"/>
      <c r="M27" s="5"/>
      <c r="N27" s="5"/>
      <c r="O27" s="5"/>
      <c r="P27" s="163"/>
      <c r="Q27" s="144"/>
      <c r="R27" s="143"/>
      <c r="S27" s="144"/>
      <c r="T27" s="141"/>
      <c r="U27" s="154"/>
      <c r="V27" s="117"/>
      <c r="W27" s="117"/>
      <c r="X27" s="117"/>
      <c r="Y27" s="148"/>
      <c r="Z27" s="160"/>
      <c r="AA27" s="116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50"/>
      <c r="AM27" s="157"/>
      <c r="AN27" s="120"/>
      <c r="AO27" s="117"/>
      <c r="AP27" s="117"/>
      <c r="AQ27" s="135"/>
      <c r="AR27" s="144"/>
      <c r="AS27" s="5"/>
      <c r="AT27" s="5"/>
      <c r="AU27" s="298"/>
      <c r="AV27" s="299"/>
      <c r="AW27" s="5"/>
      <c r="AX27" s="300"/>
      <c r="AY27" s="301"/>
      <c r="AZ27" s="5"/>
      <c r="BA27" s="5"/>
      <c r="BB27" s="5"/>
      <c r="BC27" s="5"/>
      <c r="BD27" s="5"/>
      <c r="BE27" s="159"/>
      <c r="BF27" s="139"/>
      <c r="BG27" s="5"/>
      <c r="BH27" s="5"/>
      <c r="BI27" s="8" t="s">
        <v>87</v>
      </c>
      <c r="BJ27" s="5"/>
      <c r="BK27" s="5"/>
      <c r="BL27" s="5"/>
      <c r="BM27" s="5"/>
      <c r="BN27" s="302"/>
      <c r="BO27" s="5"/>
      <c r="BP27" s="303"/>
      <c r="BQ27" s="5"/>
      <c r="BR27" s="304"/>
      <c r="BS27" s="305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06"/>
      <c r="N28" s="5"/>
      <c r="O28" s="307"/>
      <c r="P28" s="5"/>
      <c r="Q28" s="5"/>
      <c r="R28" s="5"/>
      <c r="S28" s="5"/>
      <c r="T28" s="5"/>
      <c r="U28" s="153"/>
      <c r="V28" s="141"/>
      <c r="W28" s="147"/>
      <c r="X28" s="142"/>
      <c r="Y28" s="123"/>
      <c r="Z28" s="5"/>
      <c r="AA28" s="308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23"/>
      <c r="AM28" s="138"/>
      <c r="AN28" s="117"/>
      <c r="AO28" s="129"/>
      <c r="AP28" s="153"/>
      <c r="AQ28" s="126"/>
      <c r="AR28" s="5"/>
      <c r="AS28" s="5"/>
      <c r="AT28" s="5"/>
      <c r="AU28" s="136"/>
      <c r="AV28" s="5"/>
      <c r="AW28" s="5"/>
      <c r="AX28" s="309"/>
      <c r="AY28" s="5"/>
      <c r="AZ28" s="5"/>
      <c r="BA28" s="5"/>
      <c r="BB28" s="5"/>
      <c r="BC28" s="5"/>
      <c r="BD28" s="150"/>
      <c r="BE28" s="143"/>
      <c r="BF28" s="5"/>
      <c r="BG28" s="5"/>
      <c r="BH28" s="5"/>
      <c r="BI28" s="5"/>
      <c r="BJ28" s="5"/>
      <c r="BK28" s="5"/>
      <c r="BL28" s="310"/>
      <c r="BM28" s="311"/>
      <c r="BN28" s="312"/>
      <c r="BO28" s="313"/>
      <c r="BP28" s="314"/>
      <c r="BQ28" s="315"/>
      <c r="BR28" s="316"/>
      <c r="BS28" s="317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18"/>
      <c r="N29" s="5"/>
      <c r="O29" s="319"/>
      <c r="P29" s="5"/>
      <c r="Q29" s="5"/>
      <c r="R29" s="9" t="s">
        <v>87</v>
      </c>
      <c r="S29" s="5"/>
      <c r="T29" s="5"/>
      <c r="U29" s="8" t="s">
        <v>87</v>
      </c>
      <c r="V29" s="5"/>
      <c r="W29" s="320"/>
      <c r="X29" s="5"/>
      <c r="Y29" s="5"/>
      <c r="Z29" s="321"/>
      <c r="AA29" s="322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59"/>
      <c r="AN29" s="138"/>
      <c r="AO29" s="124"/>
      <c r="AP29" s="5"/>
      <c r="AQ29" s="5"/>
      <c r="AR29" s="5"/>
      <c r="AS29" s="5"/>
      <c r="AT29" s="5"/>
      <c r="AU29" s="119"/>
      <c r="AV29" s="129"/>
      <c r="AW29" s="5"/>
      <c r="AX29" s="5"/>
      <c r="AY29" s="5"/>
      <c r="AZ29" s="5"/>
      <c r="BA29" s="5"/>
      <c r="BB29" s="5"/>
      <c r="BC29" s="5"/>
      <c r="BD29" s="5"/>
      <c r="BE29" s="161"/>
      <c r="BF29" s="5"/>
      <c r="BG29" s="5"/>
      <c r="BH29" s="5"/>
      <c r="BI29" s="5"/>
      <c r="BJ29" s="5"/>
      <c r="BK29" s="5"/>
      <c r="BL29" s="5"/>
      <c r="BM29" s="5"/>
      <c r="BN29" s="323"/>
      <c r="BO29" s="324"/>
      <c r="BP29" s="5"/>
      <c r="BQ29" s="5"/>
      <c r="BR29" s="5"/>
      <c r="BS29" s="5"/>
      <c r="BT29" s="5"/>
      <c r="BU29" s="325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26"/>
      <c r="N30" s="5"/>
      <c r="O30" s="5"/>
      <c r="P30" s="327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28"/>
      <c r="AM30" s="329"/>
      <c r="AN30" s="5"/>
      <c r="AO30" s="5"/>
      <c r="AP30" s="5"/>
      <c r="AQ30" s="9" t="s">
        <v>87</v>
      </c>
      <c r="AR30" s="5"/>
      <c r="AS30" s="5"/>
      <c r="AT30" s="5"/>
      <c r="AU30" s="151"/>
      <c r="AV30" s="164"/>
      <c r="AW30" s="330"/>
      <c r="AX30" s="331"/>
      <c r="AY30" s="5"/>
      <c r="AZ30" s="5"/>
      <c r="BA30" s="5"/>
      <c r="BB30" s="5"/>
      <c r="BC30" s="5"/>
      <c r="BD30" s="5"/>
      <c r="BE30" s="119"/>
      <c r="BF30" s="5"/>
      <c r="BG30" s="5"/>
      <c r="BH30" s="5"/>
      <c r="BI30" s="5"/>
      <c r="BJ30" s="5"/>
      <c r="BK30" s="5"/>
      <c r="BL30" s="5"/>
      <c r="BM30" s="5"/>
      <c r="BN30" s="332"/>
      <c r="BO30" s="333"/>
      <c r="BP30" s="5"/>
      <c r="BQ30" s="334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549" t="s">
        <v>198</v>
      </c>
      <c r="DQ30" s="549" t="s">
        <v>199</v>
      </c>
      <c r="DR30" s="45" t="s">
        <v>200</v>
      </c>
      <c r="DS30" s="45" t="s">
        <v>202</v>
      </c>
      <c r="DT30" s="45" t="s">
        <v>154</v>
      </c>
      <c r="DU30" s="549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35"/>
      <c r="P31" s="5"/>
      <c r="Q31" s="5"/>
      <c r="R31" s="5"/>
      <c r="S31" s="5"/>
      <c r="T31" s="5"/>
      <c r="U31" s="5"/>
      <c r="V31" s="5"/>
      <c r="W31" s="5"/>
      <c r="X31" s="5"/>
      <c r="Y31" s="5"/>
      <c r="Z31" s="336"/>
      <c r="AA31" s="337"/>
      <c r="AB31" s="5"/>
      <c r="AC31" s="338"/>
      <c r="AD31" s="5"/>
      <c r="AE31" s="5"/>
      <c r="AF31" s="5"/>
      <c r="AG31" s="5"/>
      <c r="AH31" s="5"/>
      <c r="AI31" s="5"/>
      <c r="AJ31" s="5"/>
      <c r="AK31" s="5"/>
      <c r="AL31" s="135"/>
      <c r="AM31" s="150"/>
      <c r="AN31" s="128"/>
      <c r="AO31" s="12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25"/>
      <c r="BM31" s="162"/>
      <c r="BN31" s="5"/>
      <c r="BO31" s="5"/>
      <c r="BP31" s="5"/>
      <c r="BQ31" s="339"/>
      <c r="BR31" s="5"/>
      <c r="BS31" s="5"/>
      <c r="BT31" s="340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549"/>
      <c r="DQ31" s="549"/>
      <c r="DR31" s="45" t="s">
        <v>201</v>
      </c>
      <c r="DS31" s="45" t="s">
        <v>201</v>
      </c>
      <c r="DT31" s="45" t="s">
        <v>203</v>
      </c>
      <c r="DU31" s="549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41"/>
      <c r="AA32" s="342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60"/>
      <c r="AM32" s="145"/>
      <c r="AN32" s="156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21"/>
      <c r="BM32" s="146"/>
      <c r="BN32" s="343"/>
      <c r="BO32" s="344"/>
      <c r="BP32" s="5"/>
      <c r="BQ32" s="5"/>
      <c r="BR32" s="5"/>
      <c r="BS32" s="5"/>
      <c r="BT32" s="5"/>
      <c r="BU32" s="345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46"/>
      <c r="AB33" s="347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24"/>
      <c r="AM33" s="348"/>
      <c r="AN33" s="5"/>
      <c r="AO33" s="5"/>
      <c r="AP33" s="5"/>
      <c r="AQ33" s="5"/>
      <c r="AR33" s="151"/>
      <c r="AS33" s="143"/>
      <c r="AT33" s="162"/>
      <c r="AU33" s="5"/>
      <c r="AV33" s="5"/>
      <c r="AW33" s="349"/>
      <c r="AX33" s="350"/>
      <c r="AY33" s="5"/>
      <c r="AZ33" s="135"/>
      <c r="BA33" s="161"/>
      <c r="BB33" s="5"/>
      <c r="BC33" s="5"/>
      <c r="BD33" s="5"/>
      <c r="BE33" s="5"/>
      <c r="BF33" s="5"/>
      <c r="BG33" s="5"/>
      <c r="BH33" s="5"/>
      <c r="BI33" s="137"/>
      <c r="BJ33" s="148"/>
      <c r="BK33" s="154"/>
      <c r="BL33" s="148"/>
      <c r="BM33" s="124"/>
      <c r="BN33" s="121"/>
      <c r="BO33" s="351"/>
      <c r="BP33" s="5"/>
      <c r="BQ33" s="352"/>
      <c r="BR33" s="353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54"/>
      <c r="AB34" s="5"/>
      <c r="AC34" s="5"/>
      <c r="AD34" s="5"/>
      <c r="AE34" s="5"/>
      <c r="AF34" s="5"/>
      <c r="AG34" s="5"/>
      <c r="AH34" s="5"/>
      <c r="AI34" s="5"/>
      <c r="AJ34" s="5"/>
      <c r="AK34" s="125"/>
      <c r="AL34" s="122"/>
      <c r="AM34" s="5"/>
      <c r="AN34" s="5"/>
      <c r="AO34" s="5"/>
      <c r="AP34" s="5"/>
      <c r="AQ34" s="5"/>
      <c r="AR34" s="146"/>
      <c r="AS34" s="146"/>
      <c r="AT34" s="145"/>
      <c r="AU34" s="140"/>
      <c r="AV34" s="151"/>
      <c r="AW34" s="5"/>
      <c r="AX34" s="355"/>
      <c r="AY34" s="356"/>
      <c r="AZ34" s="158"/>
      <c r="BA34" s="147"/>
      <c r="BB34" s="165"/>
      <c r="BC34" s="131"/>
      <c r="BD34" s="5"/>
      <c r="BE34" s="5"/>
      <c r="BF34" s="5"/>
      <c r="BG34" s="5"/>
      <c r="BH34" s="5"/>
      <c r="BI34" s="148"/>
      <c r="BJ34" s="117"/>
      <c r="BK34" s="117"/>
      <c r="BL34" s="117"/>
      <c r="BM34" s="117"/>
      <c r="BN34" s="123"/>
      <c r="BO34" s="148"/>
      <c r="BP34" s="5"/>
      <c r="BQ34" s="5"/>
      <c r="BR34" s="5"/>
      <c r="BS34" s="130"/>
      <c r="BT34" s="138"/>
      <c r="BU34" s="12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57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62"/>
      <c r="AT35" s="151"/>
      <c r="AU35" s="117"/>
      <c r="AV35" s="116"/>
      <c r="AW35" s="118"/>
      <c r="AX35" s="5"/>
      <c r="AY35" s="9" t="s">
        <v>87</v>
      </c>
      <c r="AZ35" s="122"/>
      <c r="BA35" s="134"/>
      <c r="BB35" s="143"/>
      <c r="BC35" s="5"/>
      <c r="BD35" s="5"/>
      <c r="BE35" s="5"/>
      <c r="BF35" s="5"/>
      <c r="BG35" s="5"/>
      <c r="BH35" s="5"/>
      <c r="BI35" s="137"/>
      <c r="BJ35" s="117"/>
      <c r="BK35" s="117"/>
      <c r="BL35" s="117"/>
      <c r="BM35" s="117"/>
      <c r="BN35" s="117"/>
      <c r="BO35" s="118"/>
      <c r="BP35" s="154"/>
      <c r="BQ35" s="150"/>
      <c r="BR35" s="160"/>
      <c r="BS35" s="152"/>
      <c r="BT35" s="117"/>
      <c r="BU35" s="117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45"/>
      <c r="AN36" s="5"/>
      <c r="AO36" s="5"/>
      <c r="AP36" s="5"/>
      <c r="AQ36" s="5"/>
      <c r="AR36" s="5"/>
      <c r="AS36" s="5"/>
      <c r="AT36" s="158"/>
      <c r="AU36" s="117"/>
      <c r="AV36" s="117"/>
      <c r="AW36" s="157"/>
      <c r="AX36" s="358"/>
      <c r="AY36" s="5"/>
      <c r="AZ36" s="5"/>
      <c r="BA36" s="143"/>
      <c r="BB36" s="147"/>
      <c r="BC36" s="5"/>
      <c r="BD36" s="5"/>
      <c r="BE36" s="5"/>
      <c r="BF36" s="126"/>
      <c r="BG36" s="166"/>
      <c r="BH36" s="5"/>
      <c r="BI36" s="164"/>
      <c r="BJ36" s="138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59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56"/>
      <c r="AN37" s="5"/>
      <c r="AO37" s="5"/>
      <c r="AP37" s="9" t="s">
        <v>87</v>
      </c>
      <c r="AQ37" s="5"/>
      <c r="AR37" s="5"/>
      <c r="AS37" s="5"/>
      <c r="AT37" s="121"/>
      <c r="AU37" s="117"/>
      <c r="AV37" s="117"/>
      <c r="AW37" s="122"/>
      <c r="AX37" s="119"/>
      <c r="AY37" s="157"/>
      <c r="AZ37" s="118"/>
      <c r="BA37" s="125"/>
      <c r="BB37" s="161"/>
      <c r="BC37" s="152"/>
      <c r="BD37" s="5"/>
      <c r="BE37" s="5"/>
      <c r="BF37" s="158"/>
      <c r="BG37" s="147"/>
      <c r="BH37" s="133"/>
      <c r="BI37" s="5"/>
      <c r="BJ37" s="125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45"/>
      <c r="AU38" s="117"/>
      <c r="AV38" s="117"/>
      <c r="AW38" s="117"/>
      <c r="AX38" s="117"/>
      <c r="AY38" s="117"/>
      <c r="AZ38" s="117"/>
      <c r="BA38" s="117"/>
      <c r="BB38" s="138"/>
      <c r="BC38" s="5"/>
      <c r="BD38" s="5"/>
      <c r="BE38" s="5"/>
      <c r="BF38" s="5"/>
      <c r="BG38" s="124"/>
      <c r="BH38" s="153"/>
      <c r="BI38" s="5"/>
      <c r="BJ38" s="134"/>
      <c r="BK38" s="164"/>
      <c r="BL38" s="117"/>
      <c r="BM38" s="117"/>
      <c r="BN38" s="132"/>
      <c r="BO38" s="146"/>
      <c r="BP38" s="151"/>
      <c r="BQ38" s="117"/>
      <c r="BR38" s="117"/>
      <c r="BS38" s="117"/>
      <c r="BT38" s="117"/>
      <c r="BU38" s="117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60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27"/>
      <c r="AU39" s="117"/>
      <c r="AV39" s="117"/>
      <c r="AW39" s="117"/>
      <c r="AX39" s="148"/>
      <c r="AY39" s="128"/>
      <c r="AZ39" s="159"/>
      <c r="BA39" s="137"/>
      <c r="BB39" s="163"/>
      <c r="BC39" s="5"/>
      <c r="BD39" s="5"/>
      <c r="BE39" s="160"/>
      <c r="BF39" s="124"/>
      <c r="BG39" s="134"/>
      <c r="BH39" s="151"/>
      <c r="BI39" s="5"/>
      <c r="BJ39" s="5"/>
      <c r="BK39" s="157"/>
      <c r="BL39" s="117"/>
      <c r="BM39" s="117"/>
      <c r="BN39" s="159"/>
      <c r="BO39" s="5"/>
      <c r="BP39" s="127"/>
      <c r="BQ39" s="117"/>
      <c r="BR39" s="117"/>
      <c r="BS39" s="117"/>
      <c r="BT39" s="117"/>
      <c r="BU39" s="117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61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43"/>
      <c r="AU40" s="117"/>
      <c r="AV40" s="148"/>
      <c r="AW40" s="140"/>
      <c r="AX40" s="152"/>
      <c r="AY40" s="5"/>
      <c r="AZ40" s="5"/>
      <c r="BA40" s="9" t="s">
        <v>87</v>
      </c>
      <c r="BB40" s="5"/>
      <c r="BC40" s="5"/>
      <c r="BD40" s="5"/>
      <c r="BE40" s="142"/>
      <c r="BF40" s="127"/>
      <c r="BG40" s="117"/>
      <c r="BH40" s="161"/>
      <c r="BI40" s="163"/>
      <c r="BJ40" s="5"/>
      <c r="BK40" s="148"/>
      <c r="BL40" s="117"/>
      <c r="BM40" s="117"/>
      <c r="BN40" s="119"/>
      <c r="BO40" s="153"/>
      <c r="BP40" s="147"/>
      <c r="BQ40" s="117"/>
      <c r="BR40" s="117"/>
      <c r="BS40" s="117"/>
      <c r="BT40" s="117"/>
      <c r="BU40" s="117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62"/>
      <c r="P41" s="5"/>
      <c r="Q41" s="363"/>
      <c r="R41" s="5"/>
      <c r="S41" s="5"/>
      <c r="T41" s="5"/>
      <c r="U41" s="364"/>
      <c r="V41" s="5"/>
      <c r="W41" s="365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366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27"/>
      <c r="AU41" s="121"/>
      <c r="AV41" s="154"/>
      <c r="AW41" s="5"/>
      <c r="AX41" s="5"/>
      <c r="AY41" s="5"/>
      <c r="AZ41" s="5"/>
      <c r="BA41" s="5"/>
      <c r="BB41" s="367"/>
      <c r="BC41" s="5"/>
      <c r="BD41" s="5"/>
      <c r="BE41" s="5"/>
      <c r="BF41" s="152"/>
      <c r="BG41" s="117"/>
      <c r="BH41" s="117"/>
      <c r="BI41" s="134"/>
      <c r="BJ41" s="5"/>
      <c r="BK41" s="135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368"/>
      <c r="M42" s="5"/>
      <c r="N42" s="5"/>
      <c r="O42" s="5"/>
      <c r="P42" s="5"/>
      <c r="Q42" s="5"/>
      <c r="R42" s="5"/>
      <c r="S42" s="5"/>
      <c r="T42" s="369"/>
      <c r="U42" s="5"/>
      <c r="V42" s="370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371"/>
      <c r="AH42" s="372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373"/>
      <c r="AV42" s="5"/>
      <c r="AW42" s="5"/>
      <c r="AX42" s="5"/>
      <c r="AY42" s="5"/>
      <c r="AZ42" s="5"/>
      <c r="BA42" s="374"/>
      <c r="BB42" s="5"/>
      <c r="BC42" s="5"/>
      <c r="BD42" s="5"/>
      <c r="BE42" s="155"/>
      <c r="BF42" s="159"/>
      <c r="BG42" s="152"/>
      <c r="BH42" s="130"/>
      <c r="BI42" s="132"/>
      <c r="BJ42" s="5"/>
      <c r="BK42" s="131"/>
      <c r="BL42" s="155"/>
      <c r="BM42" s="116"/>
      <c r="BN42" s="117"/>
      <c r="BO42" s="133"/>
      <c r="BP42" s="164"/>
      <c r="BQ42" s="157"/>
      <c r="BR42" s="137"/>
      <c r="BS42" s="117"/>
      <c r="BT42" s="117"/>
      <c r="BU42" s="117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375"/>
      <c r="N43" s="5"/>
      <c r="O43" s="376"/>
      <c r="P43" s="377"/>
      <c r="Q43" s="5"/>
      <c r="R43" s="5"/>
      <c r="S43" s="5"/>
      <c r="T43" s="378"/>
      <c r="U43" s="379"/>
      <c r="V43" s="5"/>
      <c r="W43" s="5"/>
      <c r="X43" s="5"/>
      <c r="Y43" s="5"/>
      <c r="Z43" s="380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381"/>
      <c r="BB43" s="382"/>
      <c r="BC43" s="5"/>
      <c r="BD43" s="383"/>
      <c r="BE43" s="136"/>
      <c r="BF43" s="117"/>
      <c r="BG43" s="147"/>
      <c r="BH43" s="5"/>
      <c r="BI43" s="5"/>
      <c r="BJ43" s="5"/>
      <c r="BK43" s="5"/>
      <c r="BL43" s="5"/>
      <c r="BM43" s="165"/>
      <c r="BN43" s="140"/>
      <c r="BO43" s="135"/>
      <c r="BP43" s="5"/>
      <c r="BQ43" s="5"/>
      <c r="BR43" s="123"/>
      <c r="BS43" s="131"/>
      <c r="BT43" s="117"/>
      <c r="BU43" s="117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384"/>
      <c r="N44" s="385"/>
      <c r="O44" s="386"/>
      <c r="P44" s="5"/>
      <c r="Q44" s="387"/>
      <c r="R44" s="5"/>
      <c r="S44" s="5"/>
      <c r="T44" s="5"/>
      <c r="U44" s="5"/>
      <c r="V44" s="388"/>
      <c r="W44" s="5"/>
      <c r="X44" s="5"/>
      <c r="Y44" s="5"/>
      <c r="Z44" s="5"/>
      <c r="AA44" s="5"/>
      <c r="AB44" s="5"/>
      <c r="AC44" s="389"/>
      <c r="AD44" s="390"/>
      <c r="AE44" s="5"/>
      <c r="AF44" s="5"/>
      <c r="AG44" s="5"/>
      <c r="AH44" s="5"/>
      <c r="AI44" s="5"/>
      <c r="AJ44" s="5"/>
      <c r="AK44" s="5"/>
      <c r="AL44" s="141"/>
      <c r="AM44" s="148"/>
      <c r="AN44" s="141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391"/>
      <c r="BA44" s="5"/>
      <c r="BB44" s="392"/>
      <c r="BC44" s="393"/>
      <c r="BD44" s="5"/>
      <c r="BE44" s="159"/>
      <c r="BF44" s="162"/>
      <c r="BG44" s="151"/>
      <c r="BH44" s="154"/>
      <c r="BI44" s="5"/>
      <c r="BJ44" s="5"/>
      <c r="BK44" s="5"/>
      <c r="BL44" s="5"/>
      <c r="BM44" s="161"/>
      <c r="BN44" s="143"/>
      <c r="BO44" s="5"/>
      <c r="BP44" s="394"/>
      <c r="BQ44" s="169"/>
      <c r="BR44" s="395"/>
      <c r="BS44" s="126"/>
      <c r="BT44" s="117"/>
      <c r="BU44" s="117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396"/>
      <c r="N45" s="5"/>
      <c r="O45" s="5"/>
      <c r="P45" s="5"/>
      <c r="Q45" s="5"/>
      <c r="R45" s="397"/>
      <c r="S45" s="9" t="s">
        <v>87</v>
      </c>
      <c r="T45" s="5"/>
      <c r="U45" s="398"/>
      <c r="V45" s="5"/>
      <c r="W45" s="5"/>
      <c r="X45" s="5"/>
      <c r="Y45" s="5"/>
      <c r="Z45" s="5"/>
      <c r="AA45" s="399"/>
      <c r="AB45" s="5"/>
      <c r="AC45" s="5"/>
      <c r="AD45" s="5"/>
      <c r="AE45" s="400"/>
      <c r="AF45" s="5"/>
      <c r="AG45" s="401"/>
      <c r="AH45" s="402"/>
      <c r="AI45" s="5"/>
      <c r="AJ45" s="5"/>
      <c r="AK45" s="160"/>
      <c r="AL45" s="155"/>
      <c r="AM45" s="120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31"/>
      <c r="BG45" s="117"/>
      <c r="BH45" s="151"/>
      <c r="BI45" s="9" t="s">
        <v>87</v>
      </c>
      <c r="BJ45" s="5"/>
      <c r="BK45" s="5"/>
      <c r="BL45" s="5"/>
      <c r="BM45" s="5"/>
      <c r="BN45" s="5"/>
      <c r="BO45" s="403"/>
      <c r="BP45" s="5"/>
      <c r="BQ45" s="404"/>
      <c r="BR45" s="5"/>
      <c r="BS45" s="162"/>
      <c r="BT45" s="117"/>
      <c r="BU45" s="117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05"/>
      <c r="O46" s="406"/>
      <c r="P46" s="5"/>
      <c r="Q46" s="5"/>
      <c r="R46" s="407"/>
      <c r="S46" s="408"/>
      <c r="T46" s="409"/>
      <c r="U46" s="5"/>
      <c r="V46" s="5"/>
      <c r="W46" s="5"/>
      <c r="X46" s="5"/>
      <c r="Y46" s="5"/>
      <c r="Z46" s="5"/>
      <c r="AA46" s="5"/>
      <c r="AB46" s="5"/>
      <c r="AC46" s="332"/>
      <c r="AD46" s="5"/>
      <c r="AE46" s="410"/>
      <c r="AF46" s="411"/>
      <c r="AG46" s="412"/>
      <c r="AH46" s="413"/>
      <c r="AI46" s="5"/>
      <c r="AJ46" s="5"/>
      <c r="AK46" s="158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42"/>
      <c r="AY46" s="144"/>
      <c r="AZ46" s="5"/>
      <c r="BA46" s="5"/>
      <c r="BB46" s="5"/>
      <c r="BC46" s="5"/>
      <c r="BD46" s="5"/>
      <c r="BE46" s="5"/>
      <c r="BF46" s="131"/>
      <c r="BG46" s="117"/>
      <c r="BH46" s="118"/>
      <c r="BI46" s="5"/>
      <c r="BJ46" s="5"/>
      <c r="BK46" s="5"/>
      <c r="BL46" s="5"/>
      <c r="BM46" s="5"/>
      <c r="BN46" s="5"/>
      <c r="BO46" s="5"/>
      <c r="BP46" s="5"/>
      <c r="BQ46" s="5"/>
      <c r="BR46" s="414"/>
      <c r="BS46" s="138"/>
      <c r="BT46" s="117"/>
      <c r="BU46" s="117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15"/>
      <c r="Q47" s="416"/>
      <c r="R47" s="417"/>
      <c r="S47" s="418"/>
      <c r="T47" s="5"/>
      <c r="U47" s="419"/>
      <c r="V47" s="5"/>
      <c r="W47" s="420"/>
      <c r="X47" s="5"/>
      <c r="Y47" s="5"/>
      <c r="Z47" s="5"/>
      <c r="AA47" s="5"/>
      <c r="AB47" s="421"/>
      <c r="AC47" s="5"/>
      <c r="AD47" s="422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55"/>
      <c r="AY47" s="141"/>
      <c r="AZ47" s="136"/>
      <c r="BA47" s="5"/>
      <c r="BB47" s="5"/>
      <c r="BC47" s="9" t="s">
        <v>87</v>
      </c>
      <c r="BD47" s="5"/>
      <c r="BE47" s="125"/>
      <c r="BF47" s="132"/>
      <c r="BG47" s="117"/>
      <c r="BH47" s="147"/>
      <c r="BI47" s="125"/>
      <c r="BJ47" s="133"/>
      <c r="BK47" s="162"/>
      <c r="BL47" s="155"/>
      <c r="BM47" s="153"/>
      <c r="BN47" s="145"/>
      <c r="BO47" s="150"/>
      <c r="BP47" s="5"/>
      <c r="BQ47" s="423"/>
      <c r="BR47" s="424"/>
      <c r="BS47" s="139"/>
      <c r="BT47" s="117"/>
      <c r="BU47" s="117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25"/>
      <c r="S48" s="426"/>
      <c r="T48" s="427"/>
      <c r="U48" s="428"/>
      <c r="V48" s="5"/>
      <c r="W48" s="5"/>
      <c r="X48" s="5"/>
      <c r="Y48" s="5"/>
      <c r="Z48" s="5"/>
      <c r="AA48" s="5"/>
      <c r="AB48" s="5"/>
      <c r="AC48" s="5"/>
      <c r="AD48" s="429"/>
      <c r="AE48" s="5"/>
      <c r="AF48" s="5"/>
      <c r="AG48" s="5"/>
      <c r="AH48" s="5"/>
      <c r="AI48" s="119"/>
      <c r="AJ48" s="139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45"/>
      <c r="AV48" s="136"/>
      <c r="AW48" s="116"/>
      <c r="AX48" s="125"/>
      <c r="AY48" s="117"/>
      <c r="AZ48" s="157"/>
      <c r="BA48" s="118"/>
      <c r="BB48" s="5"/>
      <c r="BC48" s="137"/>
      <c r="BD48" s="145"/>
      <c r="BE48" s="162"/>
      <c r="BF48" s="117"/>
      <c r="BG48" s="117"/>
      <c r="BH48" s="117"/>
      <c r="BI48" s="117"/>
      <c r="BJ48" s="117"/>
      <c r="BK48" s="117"/>
      <c r="BL48" s="117"/>
      <c r="BM48" s="117"/>
      <c r="BN48" s="117"/>
      <c r="BO48" s="155"/>
      <c r="BP48" s="430"/>
      <c r="BQ48" s="431"/>
      <c r="BR48" s="5"/>
      <c r="BS48" s="127"/>
      <c r="BT48" s="117"/>
      <c r="BU48" s="117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32"/>
      <c r="U49" s="433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34"/>
      <c r="AG49" s="5"/>
      <c r="AH49" s="147"/>
      <c r="AI49" s="127"/>
      <c r="AJ49" s="164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65"/>
      <c r="AV49" s="117"/>
      <c r="AW49" s="117"/>
      <c r="AX49" s="117"/>
      <c r="AY49" s="117"/>
      <c r="AZ49" s="117"/>
      <c r="BA49" s="124"/>
      <c r="BB49" s="160"/>
      <c r="BC49" s="151"/>
      <c r="BD49" s="117"/>
      <c r="BE49" s="117"/>
      <c r="BF49" s="117"/>
      <c r="BG49" s="117"/>
      <c r="BH49" s="117"/>
      <c r="BI49" s="117"/>
      <c r="BJ49" s="117"/>
      <c r="BK49" s="117"/>
      <c r="BL49" s="117"/>
      <c r="BM49" s="117"/>
      <c r="BN49" s="117"/>
      <c r="BO49" s="160"/>
      <c r="BP49" s="5"/>
      <c r="BQ49" s="5"/>
      <c r="BR49" s="5"/>
      <c r="BS49" s="152"/>
      <c r="BT49" s="117"/>
      <c r="BU49" s="117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35"/>
      <c r="U50" s="436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66"/>
      <c r="AH50" s="147"/>
      <c r="AI50" s="117"/>
      <c r="AJ50" s="122"/>
      <c r="AK50" s="123"/>
      <c r="AL50" s="5"/>
      <c r="AM50" s="5"/>
      <c r="AN50" s="5"/>
      <c r="AO50" s="5"/>
      <c r="AP50" s="5"/>
      <c r="AQ50" s="5"/>
      <c r="AR50" s="5"/>
      <c r="AS50" s="5"/>
      <c r="AT50" s="5"/>
      <c r="AU50" s="133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31"/>
      <c r="BP50" s="142"/>
      <c r="BQ50" s="128"/>
      <c r="BR50" s="144"/>
      <c r="BS50" s="152"/>
      <c r="BT50" s="117"/>
      <c r="BU50" s="117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37"/>
      <c r="AF51" s="5"/>
      <c r="AG51" s="148"/>
      <c r="AH51" s="117"/>
      <c r="AI51" s="117"/>
      <c r="AJ51" s="117"/>
      <c r="AK51" s="124"/>
      <c r="AL51" s="5"/>
      <c r="AM51" s="5"/>
      <c r="AN51" s="5"/>
      <c r="AO51" s="5"/>
      <c r="AP51" s="5"/>
      <c r="AQ51" s="5"/>
      <c r="AR51" s="5"/>
      <c r="AS51" s="5"/>
      <c r="AT51" s="5"/>
      <c r="AU51" s="135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38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3"/>
      <c r="AG52" s="129"/>
      <c r="AH52" s="117"/>
      <c r="AI52" s="117"/>
      <c r="AJ52" s="117"/>
      <c r="AK52" s="163"/>
      <c r="AL52" s="5"/>
      <c r="AM52" s="5"/>
      <c r="AN52" s="5"/>
      <c r="AO52" s="5"/>
      <c r="AP52" s="5"/>
      <c r="AQ52" s="5"/>
      <c r="AR52" s="5"/>
      <c r="AS52" s="5"/>
      <c r="AT52" s="5"/>
      <c r="AU52" s="119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39"/>
      <c r="X53" s="440"/>
      <c r="Y53" s="5"/>
      <c r="Z53" s="5"/>
      <c r="AA53" s="5"/>
      <c r="AB53" s="5"/>
      <c r="AC53" s="5"/>
      <c r="AD53" s="5"/>
      <c r="AE53" s="5"/>
      <c r="AF53" s="163"/>
      <c r="AG53" s="117"/>
      <c r="AH53" s="117"/>
      <c r="AI53" s="117"/>
      <c r="AJ53" s="117"/>
      <c r="AK53" s="122"/>
      <c r="AL53" s="5"/>
      <c r="AM53" s="5"/>
      <c r="AN53" s="5"/>
      <c r="AO53" s="5"/>
      <c r="AP53" s="5"/>
      <c r="AQ53" s="5"/>
      <c r="AR53" s="5"/>
      <c r="AS53" s="5"/>
      <c r="AT53" s="5"/>
      <c r="AU53" s="125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41"/>
      <c r="V54" s="5"/>
      <c r="W54" s="5"/>
      <c r="X54" s="442"/>
      <c r="Y54" s="5"/>
      <c r="Z54" s="9" t="s">
        <v>87</v>
      </c>
      <c r="AA54" s="5"/>
      <c r="AB54" s="5"/>
      <c r="AC54" s="5"/>
      <c r="AD54" s="5"/>
      <c r="AE54" s="135"/>
      <c r="AF54" s="146"/>
      <c r="AG54" s="117"/>
      <c r="AH54" s="120"/>
      <c r="AI54" s="118"/>
      <c r="AJ54" s="125"/>
      <c r="AK54" s="138"/>
      <c r="AL54" s="134"/>
      <c r="AM54" s="5"/>
      <c r="AN54" s="5"/>
      <c r="AO54" s="5"/>
      <c r="AP54" s="5"/>
      <c r="AQ54" s="142"/>
      <c r="AR54" s="162"/>
      <c r="AS54" s="5"/>
      <c r="AT54" s="5"/>
      <c r="AU54" s="161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24"/>
      <c r="BU54" s="155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30"/>
      <c r="AF55" s="117"/>
      <c r="AG55" s="117"/>
      <c r="AH55" s="128"/>
      <c r="AI55" s="443"/>
      <c r="AJ55" s="164"/>
      <c r="AK55" s="118"/>
      <c r="AL55" s="9" t="s">
        <v>87</v>
      </c>
      <c r="AM55" s="5"/>
      <c r="AN55" s="5"/>
      <c r="AO55" s="5"/>
      <c r="AP55" s="5"/>
      <c r="AQ55" s="127"/>
      <c r="AR55" s="153"/>
      <c r="AS55" s="138"/>
      <c r="AT55" s="128"/>
      <c r="AU55" s="13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22"/>
      <c r="BT55" s="156"/>
      <c r="BU55" s="444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34"/>
      <c r="AF56" s="117"/>
      <c r="AG56" s="117"/>
      <c r="AH56" s="126"/>
      <c r="AI56" s="158"/>
      <c r="AJ56" s="5"/>
      <c r="AK56" s="5"/>
      <c r="AL56" s="5"/>
      <c r="AM56" s="9" t="s">
        <v>87</v>
      </c>
      <c r="AN56" s="5"/>
      <c r="AO56" s="5"/>
      <c r="AP56" s="5"/>
      <c r="AQ56" s="149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20"/>
      <c r="BN56" s="151"/>
      <c r="BO56" s="121"/>
      <c r="BP56" s="123"/>
      <c r="BQ56" s="122"/>
      <c r="BR56" s="144"/>
      <c r="BS56" s="160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30"/>
      <c r="AF57" s="142"/>
      <c r="AG57" s="117"/>
      <c r="AH57" s="117"/>
      <c r="AI57" s="148"/>
      <c r="AJ57" s="5"/>
      <c r="AK57" s="8" t="s">
        <v>87</v>
      </c>
      <c r="AL57" s="5"/>
      <c r="AM57" s="5"/>
      <c r="AN57" s="5"/>
      <c r="AO57" s="138"/>
      <c r="AP57" s="162"/>
      <c r="AQ57" s="149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21"/>
      <c r="BM57" s="157"/>
      <c r="BN57" s="5"/>
      <c r="BO57" s="5"/>
      <c r="BP57" s="5"/>
      <c r="BQ57" s="5"/>
      <c r="BR57" s="5"/>
      <c r="BS57" s="5"/>
      <c r="BT57" s="5"/>
      <c r="BU57" s="445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61"/>
      <c r="AG58" s="128"/>
      <c r="AH58" s="161"/>
      <c r="AI58" s="148"/>
      <c r="AJ58" s="5"/>
      <c r="AK58" s="5"/>
      <c r="AL58" s="5"/>
      <c r="AM58" s="5"/>
      <c r="AN58" s="5"/>
      <c r="AO58" s="5"/>
      <c r="AP58" s="15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41"/>
      <c r="BI58" s="164"/>
      <c r="BJ58" s="161"/>
      <c r="BK58" s="116"/>
      <c r="BL58" s="164"/>
      <c r="BM58" s="446"/>
      <c r="BN58" s="447"/>
      <c r="BO58" s="448"/>
      <c r="BP58" s="5"/>
      <c r="BQ58" s="449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28"/>
      <c r="AF59" s="5"/>
      <c r="AG59" s="5"/>
      <c r="AH59" s="151"/>
      <c r="AI59" s="155"/>
      <c r="AJ59" s="5"/>
      <c r="AK59" s="5"/>
      <c r="AL59" s="153"/>
      <c r="AM59" s="165"/>
      <c r="AN59" s="5"/>
      <c r="AO59" s="5"/>
      <c r="AP59" s="154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53"/>
      <c r="BH59" s="157"/>
      <c r="BI59" s="5"/>
      <c r="BJ59" s="450"/>
      <c r="BK59" s="451"/>
      <c r="BL59" s="452"/>
      <c r="BM59" s="5"/>
      <c r="BN59" s="5"/>
      <c r="BO59" s="453"/>
      <c r="BP59" s="5"/>
      <c r="BQ59" s="454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56"/>
      <c r="AL60" s="157"/>
      <c r="AM60" s="5"/>
      <c r="AN60" s="5"/>
      <c r="AO60" s="5"/>
      <c r="AP60" s="142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31"/>
      <c r="BH60" s="5"/>
      <c r="BI60" s="455"/>
      <c r="BJ60" s="456"/>
      <c r="BK60" s="457"/>
      <c r="BL60" s="458"/>
      <c r="BM60" s="5"/>
      <c r="BN60" s="5"/>
      <c r="BO60" s="5"/>
      <c r="BP60" s="5"/>
      <c r="BQ60" s="5"/>
      <c r="BR60" s="5"/>
      <c r="BS60" s="5"/>
      <c r="BT60" s="459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60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43"/>
      <c r="Z61" s="140"/>
      <c r="AA61" s="116"/>
      <c r="AB61" s="159"/>
      <c r="AC61" s="5"/>
      <c r="AD61" s="151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1"/>
      <c r="AP61" s="121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44"/>
      <c r="BH61" s="5"/>
      <c r="BI61" s="461"/>
      <c r="BJ61" s="462"/>
      <c r="BK61" s="463"/>
      <c r="BL61" s="168"/>
      <c r="BM61" s="5"/>
      <c r="BN61" s="5"/>
      <c r="BO61" s="5"/>
      <c r="BP61" s="5"/>
      <c r="BQ61" s="5"/>
      <c r="BR61" s="5"/>
      <c r="BS61" s="464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65"/>
      <c r="M62" s="466"/>
      <c r="N62" s="5"/>
      <c r="O62" s="5"/>
      <c r="P62" s="5"/>
      <c r="Q62" s="5"/>
      <c r="R62" s="5"/>
      <c r="S62" s="5"/>
      <c r="T62" s="5"/>
      <c r="U62" s="5"/>
      <c r="V62" s="5"/>
      <c r="W62" s="5"/>
      <c r="X62" s="158"/>
      <c r="Y62" s="147"/>
      <c r="Z62" s="117"/>
      <c r="AA62" s="117"/>
      <c r="AB62" s="142"/>
      <c r="AC62" s="131"/>
      <c r="AD62" s="118"/>
      <c r="AE62" s="155"/>
      <c r="AF62" s="5"/>
      <c r="AG62" s="5"/>
      <c r="AH62" s="5"/>
      <c r="AI62" s="5"/>
      <c r="AJ62" s="5"/>
      <c r="AK62" s="5"/>
      <c r="AL62" s="5"/>
      <c r="AM62" s="5"/>
      <c r="AN62" s="154"/>
      <c r="AO62" s="155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60"/>
      <c r="BH62" s="5"/>
      <c r="BI62" s="5"/>
      <c r="BJ62" s="5"/>
      <c r="BK62" s="467"/>
      <c r="BL62" s="5"/>
      <c r="BM62" s="5"/>
      <c r="BN62" s="5"/>
      <c r="BO62" s="5"/>
      <c r="BP62" s="5"/>
      <c r="BQ62" s="5"/>
      <c r="BR62" s="5"/>
      <c r="BS62" s="468"/>
      <c r="BT62" s="469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167"/>
      <c r="P63" s="5"/>
      <c r="Q63" s="5"/>
      <c r="R63" s="5"/>
      <c r="S63" s="5"/>
      <c r="T63" s="5"/>
      <c r="U63" s="5"/>
      <c r="V63" s="470"/>
      <c r="W63" s="5"/>
      <c r="X63" s="151"/>
      <c r="Y63" s="117"/>
      <c r="Z63" s="117"/>
      <c r="AA63" s="117"/>
      <c r="AB63" s="117"/>
      <c r="AC63" s="117"/>
      <c r="AD63" s="117"/>
      <c r="AE63" s="136"/>
      <c r="AF63" s="5"/>
      <c r="AG63" s="5"/>
      <c r="AH63" s="5"/>
      <c r="AI63" s="5"/>
      <c r="AJ63" s="5"/>
      <c r="AK63" s="5"/>
      <c r="AL63" s="5"/>
      <c r="AM63" s="5"/>
      <c r="AN63" s="133"/>
      <c r="AO63" s="142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51"/>
      <c r="BG63" s="121"/>
      <c r="BH63" s="471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472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56"/>
      <c r="X64" s="166"/>
      <c r="Y64" s="117"/>
      <c r="Z64" s="117"/>
      <c r="AA64" s="117"/>
      <c r="AB64" s="117"/>
      <c r="AC64" s="117"/>
      <c r="AD64" s="117"/>
      <c r="AE64" s="155"/>
      <c r="AF64" s="126"/>
      <c r="AG64" s="134"/>
      <c r="AH64" s="5"/>
      <c r="AI64" s="5"/>
      <c r="AJ64" s="5"/>
      <c r="AK64" s="5"/>
      <c r="AL64" s="5"/>
      <c r="AM64" s="5"/>
      <c r="AN64" s="5"/>
      <c r="AO64" s="131"/>
      <c r="AP64" s="160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22"/>
      <c r="BG64" s="5"/>
      <c r="BH64" s="473"/>
      <c r="BI64" s="474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475"/>
      <c r="N65" s="5"/>
      <c r="O65" s="5"/>
      <c r="P65" s="5"/>
      <c r="Q65" s="5"/>
      <c r="R65" s="5"/>
      <c r="S65" s="5"/>
      <c r="T65" s="5"/>
      <c r="U65" s="5"/>
      <c r="V65" s="5"/>
      <c r="W65" s="136"/>
      <c r="X65" s="130"/>
      <c r="Y65" s="146"/>
      <c r="Z65" s="117"/>
      <c r="AA65" s="117"/>
      <c r="AB65" s="117"/>
      <c r="AC65" s="117"/>
      <c r="AD65" s="117"/>
      <c r="AE65" s="117"/>
      <c r="AF65" s="117"/>
      <c r="AG65" s="127"/>
      <c r="AH65" s="5"/>
      <c r="AI65" s="5"/>
      <c r="AJ65" s="5"/>
      <c r="AK65" s="5"/>
      <c r="AL65" s="5"/>
      <c r="AM65" s="5"/>
      <c r="AN65" s="5"/>
      <c r="AO65" s="5"/>
      <c r="AP65" s="144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51"/>
      <c r="BG65" s="132"/>
      <c r="BH65" s="5"/>
      <c r="BI65" s="476"/>
      <c r="BJ65" s="5"/>
      <c r="BK65" s="5"/>
      <c r="BL65" s="5"/>
      <c r="BM65" s="5"/>
      <c r="BN65" s="5"/>
      <c r="BO65" s="5"/>
      <c r="BP65" s="477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478"/>
      <c r="Q66" s="5"/>
      <c r="R66" s="5"/>
      <c r="S66" s="5"/>
      <c r="T66" s="5"/>
      <c r="U66" s="5"/>
      <c r="V66" s="5"/>
      <c r="W66" s="5"/>
      <c r="X66" s="5"/>
      <c r="Y66" s="155"/>
      <c r="Z66" s="135"/>
      <c r="AA66" s="116"/>
      <c r="AB66" s="161"/>
      <c r="AC66" s="116"/>
      <c r="AD66" s="147"/>
      <c r="AE66" s="144"/>
      <c r="AF66" s="155"/>
      <c r="AG66" s="120"/>
      <c r="AH66" s="5"/>
      <c r="AI66" s="5"/>
      <c r="AJ66" s="5"/>
      <c r="AK66" s="5"/>
      <c r="AL66" s="5"/>
      <c r="AM66" s="5"/>
      <c r="AN66" s="5"/>
      <c r="AO66" s="5"/>
      <c r="AP66" s="122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25"/>
      <c r="BC66" s="139"/>
      <c r="BD66" s="149"/>
      <c r="BE66" s="117"/>
      <c r="BF66" s="117"/>
      <c r="BG66" s="158"/>
      <c r="BH66" s="479"/>
      <c r="BI66" s="5"/>
      <c r="BJ66" s="5"/>
      <c r="BK66" s="5"/>
      <c r="BL66" s="5"/>
      <c r="BM66" s="9" t="s">
        <v>87</v>
      </c>
      <c r="BN66" s="5"/>
      <c r="BO66" s="5"/>
      <c r="BP66" s="5"/>
      <c r="BQ66" s="480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481"/>
      <c r="R67" s="5"/>
      <c r="S67" s="5"/>
      <c r="T67" s="5"/>
      <c r="U67" s="5"/>
      <c r="V67" s="5"/>
      <c r="W67" s="5"/>
      <c r="X67" s="5"/>
      <c r="Y67" s="5"/>
      <c r="Z67" s="5"/>
      <c r="AA67" s="5"/>
      <c r="AB67" s="120"/>
      <c r="AC67" s="5"/>
      <c r="AD67" s="5"/>
      <c r="AE67" s="128"/>
      <c r="AF67" s="127"/>
      <c r="AG67" s="5"/>
      <c r="AH67" s="5"/>
      <c r="AI67" s="5"/>
      <c r="AJ67" s="5"/>
      <c r="AK67" s="5"/>
      <c r="AL67" s="5"/>
      <c r="AM67" s="5"/>
      <c r="AN67" s="5"/>
      <c r="AO67" s="5"/>
      <c r="AP67" s="158"/>
      <c r="AQ67" s="117"/>
      <c r="AR67" s="117"/>
      <c r="AS67" s="117"/>
      <c r="AT67" s="117"/>
      <c r="AU67" s="117"/>
      <c r="AV67" s="117"/>
      <c r="AW67" s="117"/>
      <c r="AX67" s="125"/>
      <c r="AY67" s="140"/>
      <c r="AZ67" s="127"/>
      <c r="BA67" s="139"/>
      <c r="BB67" s="154"/>
      <c r="BC67" s="5"/>
      <c r="BD67" s="141"/>
      <c r="BE67" s="150"/>
      <c r="BF67" s="147"/>
      <c r="BG67" s="138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482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483"/>
      <c r="R68" s="484"/>
      <c r="S68" s="5"/>
      <c r="T68" s="485"/>
      <c r="U68" s="5"/>
      <c r="V68" s="5"/>
      <c r="W68" s="5"/>
      <c r="X68" s="5"/>
      <c r="Y68" s="5"/>
      <c r="Z68" s="5"/>
      <c r="AA68" s="5"/>
      <c r="AB68" s="143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60"/>
      <c r="AQ68" s="117"/>
      <c r="AR68" s="117"/>
      <c r="AS68" s="117"/>
      <c r="AT68" s="117"/>
      <c r="AU68" s="117"/>
      <c r="AV68" s="117"/>
      <c r="AW68" s="117"/>
      <c r="AX68" s="160"/>
      <c r="AY68" s="5"/>
      <c r="AZ68" s="5"/>
      <c r="BA68" s="5"/>
      <c r="BB68" s="5"/>
      <c r="BC68" s="5"/>
      <c r="BD68" s="486"/>
      <c r="BE68" s="487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488"/>
      <c r="BS68" s="489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490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56"/>
      <c r="AK69" s="157"/>
      <c r="AL69" s="5"/>
      <c r="AM69" s="5"/>
      <c r="AN69" s="5"/>
      <c r="AO69" s="5"/>
      <c r="AP69" s="163"/>
      <c r="AQ69" s="117"/>
      <c r="AR69" s="117"/>
      <c r="AS69" s="117"/>
      <c r="AT69" s="117"/>
      <c r="AU69" s="117"/>
      <c r="AV69" s="117"/>
      <c r="AW69" s="117"/>
      <c r="AX69" s="143"/>
      <c r="AY69" s="5"/>
      <c r="AZ69" s="491"/>
      <c r="BA69" s="5"/>
      <c r="BB69" s="5"/>
      <c r="BC69" s="5"/>
      <c r="BD69" s="492"/>
      <c r="BE69" s="5"/>
      <c r="BF69" s="5"/>
      <c r="BG69" s="5"/>
      <c r="BH69" s="493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494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495"/>
      <c r="R70" s="496"/>
      <c r="S70" s="497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57"/>
      <c r="AL70" s="116"/>
      <c r="AM70" s="5"/>
      <c r="AN70" s="5"/>
      <c r="AO70" s="5"/>
      <c r="AP70" s="159"/>
      <c r="AQ70" s="149"/>
      <c r="AR70" s="117"/>
      <c r="AS70" s="117"/>
      <c r="AT70" s="117"/>
      <c r="AU70" s="117"/>
      <c r="AV70" s="117"/>
      <c r="AW70" s="117"/>
      <c r="AX70" s="127"/>
      <c r="AY70" s="5"/>
      <c r="AZ70" s="498"/>
      <c r="BA70" s="499"/>
      <c r="BB70" s="170"/>
      <c r="BC70" s="5"/>
      <c r="BD70" s="5"/>
      <c r="BE70" s="5"/>
      <c r="BF70" s="5"/>
      <c r="BG70" s="5"/>
      <c r="BH70" s="5"/>
      <c r="BI70" s="5"/>
      <c r="BJ70" s="500"/>
      <c r="BK70" s="501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56"/>
      <c r="AH71" s="5"/>
      <c r="AI71" s="5"/>
      <c r="AJ71" s="5"/>
      <c r="AK71" s="149"/>
      <c r="AL71" s="146"/>
      <c r="AM71" s="5"/>
      <c r="AN71" s="5"/>
      <c r="AO71" s="5"/>
      <c r="AP71" s="5"/>
      <c r="AQ71" s="148"/>
      <c r="AR71" s="152"/>
      <c r="AS71" s="117"/>
      <c r="AT71" s="117"/>
      <c r="AU71" s="117"/>
      <c r="AV71" s="117"/>
      <c r="AW71" s="117"/>
      <c r="AX71" s="139"/>
      <c r="AY71" s="159"/>
      <c r="AZ71" s="158"/>
      <c r="BA71" s="502"/>
      <c r="BB71" s="503"/>
      <c r="BC71" s="5"/>
      <c r="BD71" s="504"/>
      <c r="BE71" s="5"/>
      <c r="BF71" s="5"/>
      <c r="BG71" s="5"/>
      <c r="BH71" s="505"/>
      <c r="BI71" s="481"/>
      <c r="BJ71" s="5"/>
      <c r="BK71" s="5"/>
      <c r="BL71" s="506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07"/>
      <c r="Z72" s="5"/>
      <c r="AA72" s="5"/>
      <c r="AB72" s="5"/>
      <c r="AC72" s="5"/>
      <c r="AD72" s="5"/>
      <c r="AE72" s="5"/>
      <c r="AF72" s="162"/>
      <c r="AG72" s="128"/>
      <c r="AH72" s="164"/>
      <c r="AI72" s="126"/>
      <c r="AJ72" s="153"/>
      <c r="AK72" s="146"/>
      <c r="AL72" s="143"/>
      <c r="AM72" s="5"/>
      <c r="AN72" s="5"/>
      <c r="AO72" s="5"/>
      <c r="AP72" s="5"/>
      <c r="AQ72" s="5"/>
      <c r="AR72" s="156"/>
      <c r="AS72" s="117"/>
      <c r="AT72" s="117"/>
      <c r="AU72" s="117"/>
      <c r="AV72" s="117"/>
      <c r="AW72" s="117"/>
      <c r="AX72" s="117"/>
      <c r="AY72" s="117"/>
      <c r="AZ72" s="138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08"/>
      <c r="BN72" s="5"/>
      <c r="BO72" s="5"/>
      <c r="BP72" s="5"/>
      <c r="BQ72" s="509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10"/>
      <c r="AA73" s="5"/>
      <c r="AB73" s="5"/>
      <c r="AC73" s="5"/>
      <c r="AD73" s="5"/>
      <c r="AE73" s="5"/>
      <c r="AF73" s="5"/>
      <c r="AG73" s="511"/>
      <c r="AH73" s="5"/>
      <c r="AI73" s="151"/>
      <c r="AJ73" s="155"/>
      <c r="AK73" s="156"/>
      <c r="AL73" s="132"/>
      <c r="AM73" s="5"/>
      <c r="AN73" s="5"/>
      <c r="AO73" s="5"/>
      <c r="AP73" s="5"/>
      <c r="AQ73" s="5"/>
      <c r="AR73" s="134"/>
      <c r="AS73" s="117"/>
      <c r="AT73" s="117"/>
      <c r="AU73" s="117"/>
      <c r="AV73" s="117"/>
      <c r="AW73" s="117"/>
      <c r="AX73" s="117"/>
      <c r="AY73" s="117"/>
      <c r="AZ73" s="150"/>
      <c r="BA73" s="5"/>
      <c r="BB73" s="5"/>
      <c r="BC73" s="512"/>
      <c r="BD73" s="5"/>
      <c r="BE73" s="5"/>
      <c r="BF73" s="5"/>
      <c r="BG73" s="5"/>
      <c r="BH73" s="5"/>
      <c r="BI73" s="5"/>
      <c r="BJ73" s="5"/>
      <c r="BK73" s="513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2020-02-03T13:30:14Z</dcterms:modified>
</cp:coreProperties>
</file>